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55\Day6\"/>
    </mc:Choice>
  </mc:AlternateContent>
  <xr:revisionPtr revIDLastSave="0" documentId="13_ncr:1_{F53B0110-2287-4083-AC83-091011247D56}" xr6:coauthVersionLast="47" xr6:coauthVersionMax="47" xr10:uidLastSave="{00000000-0000-0000-0000-000000000000}"/>
  <bookViews>
    <workbookView xWindow="-120" yWindow="-120" windowWidth="29040" windowHeight="15720" xr2:uid="{95909BD2-3954-4358-BC59-7D41A45A51D7}"/>
  </bookViews>
  <sheets>
    <sheet name="Students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1" l="1"/>
  <c r="K17" i="1"/>
  <c r="K16" i="1"/>
  <c r="K15" i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<sst xmlns="http://schemas.openxmlformats.org/spreadsheetml/2006/main" count="5023" uniqueCount="40">
  <si>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</si>
  <si>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</si>
  <si>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</si>
  <si>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</si>
  <si>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</si>
  <si>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</si>
  <si>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</si>
  <si>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</si>
  <si>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</si>
  <si>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</si>
  <si>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</si>
  <si>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</si>
  <si>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</si>
  <si>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</si>
  <si>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</si>
  <si>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</si>
  <si>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</si>
  <si>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</si>
  <si>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</si>
  <si>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</si>
  <si>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</si>
  <si>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</si>
  <si>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</si>
  <si>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</si>
  <si>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</si>
  <si>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Count</t>
  </si>
  <si>
    <t>Counta</t>
  </si>
  <si>
    <t>Countif</t>
  </si>
  <si>
    <t>Countifs</t>
  </si>
  <si>
    <t>Stadard deviation P</t>
  </si>
  <si>
    <t>Stadard deviation S</t>
  </si>
  <si>
    <t>Mean</t>
  </si>
  <si>
    <t>Median</t>
  </si>
  <si>
    <t>Mode</t>
  </si>
  <si>
    <t>Variance P</t>
  </si>
  <si>
    <t>Variance S</t>
  </si>
  <si>
    <t>count blanks</t>
  </si>
  <si>
    <t>Column1</t>
  </si>
  <si>
    <t>Column2</t>
  </si>
  <si>
    <t>Corelation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</si>
</sst>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FC392E-FFC9-436D-B5BF-43E898A86205}" name="Table1" displayName="Table1" ref="J5:K18" totalsRowShown="0">
  <autoFilter ref="J5:K18" xr:uid="{E5FC392E-FFC9-436D-B5BF-43E898A86205}"/>
  <tableColumns count="2">
    <tableColumn id="1" xr3:uid="{0F7B5EBE-35C4-4334-8121-3BC5CDB116BA}" name="Column1"/>
    <tableColumn id="2" xr3:uid="{644D9641-E544-41E0-A6B1-6C81DFB75C3D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D4DE-A421-4264-982C-EB224BF7DF79}">
  <dimension ref="A1:K1001"/>
  <sheetViews>
    <sheetView tabSelected="1" workbookViewId="0">
      <selection activeCell="J8" sqref="J8"/>
    </sheetView>
  </sheetViews>
  <sheetFormatPr defaultRowHeight="15" x14ac:dyDescent="0.25"/>
  <cols>
    <col min="2" max="2" width="13.5703125" customWidth="1"/>
    <col min="3" max="3" width="29.42578125" customWidth="1"/>
    <col min="4" max="4" width="12.5703125" customWidth="1"/>
    <col min="5" max="5" width="22" customWidth="1"/>
    <col min="6" max="6" width="11.28515625" customWidth="1"/>
    <col min="7" max="7" width="12.42578125" customWidth="1"/>
    <col min="8" max="8" width="14.42578125" customWidth="1"/>
    <col min="10" max="10" width="20.7109375" customWidth="1"/>
    <col min="11" max="11" width="1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11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11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11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J5" t="s">
        <v>37</v>
      </c>
      <c r="K5" t="s">
        <v>38</v>
      </c>
    </row>
    <row r="6" spans="1:11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J6" t="s">
        <v>25</v>
      </c>
      <c r="K6">
        <f>COUNT(F:F)</f>
        <v>1000</v>
      </c>
    </row>
    <row r="7" spans="1:11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J7" t="s">
        <v>26</v>
      </c>
      <c r="K7">
        <f>COUNTA(F:F)</f>
        <v>1001</v>
      </c>
    </row>
    <row r="8" spans="1:11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J8" t="s">
        <v>27</v>
      </c>
      <c r="K8">
        <f>COUNTIF(D:G,D2)</f>
        <v>645</v>
      </c>
    </row>
    <row r="9" spans="1:11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J9" t="s">
        <v>28</v>
      </c>
      <c r="K9">
        <f>COUNTIFS(E:E,E3,D:D,D3)</f>
        <v>227</v>
      </c>
    </row>
    <row r="10" spans="1:11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J10" t="s">
        <v>31</v>
      </c>
      <c r="K10">
        <f>AVERAGE(F:F)</f>
        <v>66.088999999999999</v>
      </c>
    </row>
    <row r="11" spans="1:11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J11" t="s">
        <v>29</v>
      </c>
      <c r="K11">
        <f>_xlfn.STDEV.P(F:F)</f>
        <v>15.155496659628149</v>
      </c>
    </row>
    <row r="12" spans="1:11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J12" t="s">
        <v>30</v>
      </c>
      <c r="K12">
        <f>_xlfn.STDEV.S(F:F)</f>
        <v>15.163080096009448</v>
      </c>
    </row>
    <row r="13" spans="1:11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J13" t="s">
        <v>32</v>
      </c>
      <c r="K13">
        <f>MEDIAN(F:F)</f>
        <v>66</v>
      </c>
    </row>
    <row r="14" spans="1:11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J14" t="s">
        <v>33</v>
      </c>
      <c r="K14">
        <f>MODE(F:F)</f>
        <v>65</v>
      </c>
    </row>
    <row r="15" spans="1:11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J15" t="s">
        <v>34</v>
      </c>
      <c r="K15">
        <f>_xlfn.VAR.P(F:F)</f>
        <v>229.68907899999999</v>
      </c>
    </row>
    <row r="16" spans="1:11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J16" t="s">
        <v>35</v>
      </c>
      <c r="K16">
        <f>_xlfn.VAR.S(F:F)</f>
        <v>229.91899799799791</v>
      </c>
    </row>
    <row r="17" spans="1:11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J17" t="s">
        <v>36</v>
      </c>
      <c r="K17">
        <f>COUNTBLANK(H2:H36)</f>
        <v>1</v>
      </c>
    </row>
    <row r="18" spans="1:11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J18" t="s">
        <v>39</v>
      </c>
      <c r="K18">
        <f>CORREL(F:F,G:G)</f>
        <v>0.81757966367205326</v>
      </c>
    </row>
    <row r="19" spans="1:11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11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</row>
    <row r="21" spans="1:11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11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11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11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11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11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11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11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11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11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11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11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ignoredErrors>
    <ignoredError sqref="K17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2026-06-02T08:44:16Z</dcterms:created>
  <dcterms:modified xsi:type="dcterms:W3CDTF">2026-06-02T10:07:07Z</dcterms:modified>
</cp:coreProperties>
</file>