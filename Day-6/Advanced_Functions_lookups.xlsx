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6\"/>
    </mc:Choice>
  </mc:AlternateContent>
  <xr:revisionPtr revIDLastSave="0" documentId="13_ncr:1_{CDCAE033-1C4C-405D-A890-B2223AC450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1" l="1" a="1"/>
  <c r="D35" i="1" s="1"/>
  <c r="D34" i="1"/>
  <c r="D33" i="1"/>
  <c r="X18" i="1"/>
  <c r="X19" i="1"/>
  <c r="T13" i="1"/>
  <c r="T12" i="1"/>
  <c r="J13" i="1"/>
  <c r="J12" i="1"/>
  <c r="C17" i="1"/>
  <c r="C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<sst xmlns="http://schemas.openxmlformats.org/spreadsheetml/2006/main" count="128" uniqueCount="37">
  <si>
    <t>Number</t>
  </si>
  <si>
    <t>Description</t>
  </si>
  <si>
    <t>Type</t>
  </si>
  <si>
    <t>Price in INR</t>
  </si>
  <si>
    <t>Apple</t>
  </si>
  <si>
    <t>Mobile</t>
  </si>
  <si>
    <t>Motorola</t>
  </si>
  <si>
    <t>One plus</t>
  </si>
  <si>
    <t>Asus</t>
  </si>
  <si>
    <t>Razer</t>
  </si>
  <si>
    <t>Microsoft</t>
  </si>
  <si>
    <t>LG</t>
  </si>
  <si>
    <t>Kodak</t>
  </si>
  <si>
    <t>Canon</t>
  </si>
  <si>
    <t>Camara</t>
  </si>
  <si>
    <t>Laptop</t>
  </si>
  <si>
    <t>One Plus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</si>
  <si>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</si>
  <si>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</si>
  <si>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</si>
  <si>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</si>
  <si>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</si>
  <si>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</si>
  <si>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</si>
  <si>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</si>
  <si>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</si>
  <si>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</si>
  <si>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Fruits</t>
  </si>
  <si>
    <t>Value</t>
  </si>
  <si>
    <t>Orange</t>
  </si>
  <si>
    <t>Grapes</t>
  </si>
  <si>
    <t>Banana</t>
  </si>
  <si>
    <t>VLOOK UP()</t>
  </si>
  <si>
    <t>HLOOK UP()</t>
  </si>
  <si>
    <t>MATCH()</t>
  </si>
  <si>
    <t>INDEX()</t>
  </si>
  <si>
    <t>XLOOK UP()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</si>
</sst>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2" fillId="2" borderId="0" xfId="1" applyAlignment="1">
      <alignment horizontal="center"/>
    </xf>
    <xf numFmtId="0" fontId="2" fillId="3" borderId="0" xfId="2" applyAlignment="1">
      <alignment horizontal="center"/>
    </xf>
    <xf numFmtId="0" fontId="1" fillId="4" borderId="0" xfId="3" applyAlignment="1">
      <alignment horizontal="center"/>
    </xf>
    <xf numFmtId="0" fontId="1" fillId="5" borderId="0" xfId="4" applyAlignment="1">
      <alignment horizontal="center"/>
    </xf>
  </cellXfs>
  <cellStyles count="5">
    <cellStyle name="40% - Accent4" xfId="3" builtinId="43"/>
    <cellStyle name="60% - Accent6" xfId="4" builtinId="52"/>
    <cellStyle name="Accent1" xfId="1" builtinId="29"/>
    <cellStyle name="Accent3" xfId="2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570809-C4C7-4D35-A3AC-BA3BD30019A0}" name="Table1" displayName="Table1" ref="B4:E14" totalsRowShown="0">
  <autoFilter ref="B4:E14" xr:uid="{ED570809-C4C7-4D35-A3AC-BA3BD30019A0}"/>
  <tableColumns count="4">
    <tableColumn id="1" xr3:uid="{36427B6E-5137-46AB-AD23-997FBF44C054}" name="Number"/>
    <tableColumn id="2" xr3:uid="{C78EAC08-DA39-4CA1-B52C-47028F1BF2D6}" name="Description"/>
    <tableColumn id="3" xr3:uid="{958CCB1F-90D6-4EAA-8495-915BD248EF17}" name="Type"/>
    <tableColumn id="4" xr3:uid="{698DEE3A-9434-4D49-9743-2C96B39B958E}" name="Price in IN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F8ABD82-83F1-41C1-9DC1-B7754A00D1B9}" name="Table11" displayName="Table11" ref="G6:Q9" totalsRowShown="0">
  <autoFilter ref="G6:Q9" xr:uid="{EF8ABD82-83F1-41C1-9DC1-B7754A00D1B9}"/>
  <tableColumns count="11">
    <tableColumn id="1" xr3:uid="{AAEB24A6-1492-4AD4-8039-808593697FBE}" name="Number"/>
    <tableColumn id="2" xr3:uid="{2D4D28BB-B5AA-4813-8EAD-F9B2CCD0C7D4}" name="1"/>
    <tableColumn id="3" xr3:uid="{8C9715AC-20A0-4EE0-AF00-15DA233A175F}" name="2"/>
    <tableColumn id="4" xr3:uid="{4CAF7F14-7A6E-4BCC-9705-261F3A90CAA0}" name="3"/>
    <tableColumn id="5" xr3:uid="{BF37605E-D32C-4E5F-958E-DD8979DC339B}" name="4"/>
    <tableColumn id="6" xr3:uid="{F787F1CA-5447-4E39-9351-9F8D6CDB76F2}" name="5"/>
    <tableColumn id="7" xr3:uid="{C90C1FB7-44D3-4651-B746-3EBC2E75F051}" name="6"/>
    <tableColumn id="8" xr3:uid="{7BA5F496-0809-4511-8877-F02F8020A85A}" name="7"/>
    <tableColumn id="9" xr3:uid="{6A22585F-0CAC-438F-8F37-87BA044432B1}" name="8"/>
    <tableColumn id="10" xr3:uid="{D61A80A0-97FF-467C-9C77-C8417D6E1F57}" name="9"/>
    <tableColumn id="11" xr3:uid="{7D310376-D099-4660-BFAB-ADAC765369F0}" name="10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E4B8C18-581A-42DC-BA71-72848C7A859C}" name="Table12" displayName="Table12" ref="S6:T10" totalsRowShown="0">
  <autoFilter ref="S6:T10" xr:uid="{2E4B8C18-581A-42DC-BA71-72848C7A859C}"/>
  <tableColumns count="2">
    <tableColumn id="1" xr3:uid="{67747038-A800-478D-97DD-0CED5DA19795}" name="Fruits"/>
    <tableColumn id="2" xr3:uid="{8F848BE5-204E-4AFD-8FF3-C5BF6BB089FC}" name="Value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DCCA9E3-E6AD-410B-9677-299CCE05E206}" name="Table114" displayName="Table114" ref="V5:Y15" totalsRowShown="0">
  <autoFilter ref="V5:Y15" xr:uid="{2DCCA9E3-E6AD-410B-9677-299CCE05E206}"/>
  <tableColumns count="4">
    <tableColumn id="1" xr3:uid="{6B0331DB-FA67-4AB1-8A97-B5B5E086B786}" name="Number"/>
    <tableColumn id="2" xr3:uid="{BBBA178A-1908-438B-890A-37EE74CEFF85}" name="Description"/>
    <tableColumn id="3" xr3:uid="{6987B1C1-6374-4663-99FA-BC602937BDFA}" name="Type"/>
    <tableColumn id="4" xr3:uid="{037A6CF0-427F-4B07-835A-DFF1E8A409B9}" name="Price in INR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0E94CF2-E589-461E-8898-1457B509786E}" name="Table115" displayName="Table115" ref="B21:E31" totalsRowShown="0">
  <autoFilter ref="B21:E31" xr:uid="{50E94CF2-E589-461E-8898-1457B509786E}"/>
  <tableColumns count="4">
    <tableColumn id="1" xr3:uid="{26A7D386-C391-4FFF-98B7-B8497555840C}" name="Number"/>
    <tableColumn id="2" xr3:uid="{5187A1C7-18FA-4C16-B29B-14115DF3D34D}" name="Description"/>
    <tableColumn id="3" xr3:uid="{823A6957-CA88-4ECE-9244-0B45416F443E}" name="Type"/>
    <tableColumn id="4" xr3:uid="{4A1EFF89-2CD1-4A7C-B409-BA6E218DB630}" name="Price in IN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Y35"/>
  <sheetViews>
    <sheetView tabSelected="1" zoomScaleNormal="100" workbookViewId="0">
      <selection activeCell="Q19" sqref="Q19"/>
    </sheetView>
  </sheetViews>
  <sheetFormatPr defaultRowHeight="15" x14ac:dyDescent="0.25"/>
  <cols>
    <col min="2" max="2" width="10.42578125" customWidth="1"/>
    <col min="3" max="3" width="14.140625" customWidth="1"/>
    <col min="5" max="5" width="13.28515625" customWidth="1"/>
    <col min="7" max="7" width="10.42578125" customWidth="1"/>
    <col min="23" max="23" width="15.140625" customWidth="1"/>
    <col min="25" max="25" width="16.140625" customWidth="1"/>
  </cols>
  <sheetData>
    <row r="3" spans="2:25" x14ac:dyDescent="0.25">
      <c r="B3" s="2" t="s">
        <v>32</v>
      </c>
      <c r="C3" s="2"/>
      <c r="D3" s="2"/>
      <c r="E3" s="2"/>
    </row>
    <row r="4" spans="2:25" x14ac:dyDescent="0.25">
      <c r="B4" t="s">
        <v>0</v>
      </c>
      <c r="C4" t="s">
        <v>1</v>
      </c>
      <c r="D4" t="s">
        <v>2</v>
      </c>
      <c r="E4" t="s">
        <v>3</v>
      </c>
      <c r="V4" s="5" t="s">
        <v>35</v>
      </c>
      <c r="W4" s="5"/>
      <c r="X4" s="5"/>
      <c r="Y4" s="5"/>
    </row>
    <row r="5" spans="2:25" x14ac:dyDescent="0.25">
      <c r="B5">
        <v>1</v>
      </c>
      <c r="C5" t="s">
        <v>4</v>
      </c>
      <c r="D5" t="s">
        <v>5</v>
      </c>
      <c r="E5">
        <v>80000</v>
      </c>
      <c r="G5" s="3" t="s">
        <v>33</v>
      </c>
      <c r="H5" s="3"/>
      <c r="I5" s="3"/>
      <c r="J5" s="3"/>
      <c r="K5" s="3"/>
      <c r="L5" s="3"/>
      <c r="M5" s="3"/>
      <c r="N5" s="3"/>
      <c r="O5" s="3"/>
      <c r="P5" s="3"/>
      <c r="Q5" s="3"/>
      <c r="S5" s="4" t="s">
        <v>34</v>
      </c>
      <c r="T5" s="4"/>
      <c r="V5" t="s">
        <v>0</v>
      </c>
      <c r="W5" t="s">
        <v>1</v>
      </c>
      <c r="X5" t="s">
        <v>2</v>
      </c>
      <c r="Y5" t="s">
        <v>3</v>
      </c>
    </row>
    <row r="6" spans="2:25" x14ac:dyDescent="0.25">
      <c r="B6">
        <v>2</v>
      </c>
      <c r="C6" t="s">
        <v>6</v>
      </c>
      <c r="D6" t="s">
        <v>5</v>
      </c>
      <c r="E6">
        <v>50000</v>
      </c>
      <c r="G6" t="s">
        <v>0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  <c r="O6" t="s">
        <v>24</v>
      </c>
      <c r="P6" t="s">
        <v>25</v>
      </c>
      <c r="Q6" t="s">
        <v>26</v>
      </c>
      <c r="S6" t="s">
        <v>27</v>
      </c>
      <c r="T6" t="s">
        <v>28</v>
      </c>
      <c r="V6">
        <v>1</v>
      </c>
      <c r="W6" t="s">
        <v>4</v>
      </c>
      <c r="X6" t="s">
        <v>5</v>
      </c>
      <c r="Y6">
        <v>80000</v>
      </c>
    </row>
    <row r="7" spans="2:25" x14ac:dyDescent="0.25">
      <c r="B7">
        <v>3</v>
      </c>
      <c r="C7" t="s">
        <v>7</v>
      </c>
      <c r="D7" t="s">
        <v>5</v>
      </c>
      <c r="E7">
        <v>40000</v>
      </c>
      <c r="G7" t="s">
        <v>1</v>
      </c>
      <c r="H7" t="s">
        <v>4</v>
      </c>
      <c r="I7" t="s">
        <v>6</v>
      </c>
      <c r="J7" t="s">
        <v>7</v>
      </c>
      <c r="K7" t="s">
        <v>8</v>
      </c>
      <c r="L7" t="s">
        <v>9</v>
      </c>
      <c r="M7" t="s">
        <v>10</v>
      </c>
      <c r="N7" t="s">
        <v>4</v>
      </c>
      <c r="O7" t="s">
        <v>11</v>
      </c>
      <c r="P7" t="s">
        <v>12</v>
      </c>
      <c r="Q7" t="s">
        <v>13</v>
      </c>
      <c r="S7" t="s">
        <v>4</v>
      </c>
      <c r="T7">
        <v>50</v>
      </c>
      <c r="V7">
        <v>2</v>
      </c>
      <c r="W7" t="s">
        <v>6</v>
      </c>
      <c r="X7" t="s">
        <v>5</v>
      </c>
      <c r="Y7">
        <v>50000</v>
      </c>
    </row>
    <row r="8" spans="2:25" x14ac:dyDescent="0.25">
      <c r="B8">
        <v>4</v>
      </c>
      <c r="C8" t="s">
        <v>8</v>
      </c>
      <c r="D8" t="s">
        <v>5</v>
      </c>
      <c r="E8">
        <v>30000</v>
      </c>
      <c r="G8" t="s">
        <v>2</v>
      </c>
      <c r="H8" t="s">
        <v>5</v>
      </c>
      <c r="I8" t="s">
        <v>5</v>
      </c>
      <c r="J8" t="s">
        <v>5</v>
      </c>
      <c r="K8" t="s">
        <v>5</v>
      </c>
      <c r="L8" t="s">
        <v>5</v>
      </c>
      <c r="M8" t="s">
        <v>15</v>
      </c>
      <c r="N8" t="s">
        <v>15</v>
      </c>
      <c r="O8" t="s">
        <v>5</v>
      </c>
      <c r="P8" t="s">
        <v>14</v>
      </c>
      <c r="Q8" t="s">
        <v>14</v>
      </c>
      <c r="S8" t="s">
        <v>29</v>
      </c>
      <c r="T8">
        <v>80</v>
      </c>
      <c r="V8">
        <v>3</v>
      </c>
      <c r="W8" t="s">
        <v>7</v>
      </c>
      <c r="X8" t="s">
        <v>5</v>
      </c>
      <c r="Y8">
        <v>40000</v>
      </c>
    </row>
    <row r="9" spans="2:25" x14ac:dyDescent="0.25">
      <c r="B9">
        <v>5</v>
      </c>
      <c r="C9" t="s">
        <v>9</v>
      </c>
      <c r="D9" t="s">
        <v>5</v>
      </c>
      <c r="E9">
        <v>32000</v>
      </c>
      <c r="G9" t="s">
        <v>3</v>
      </c>
      <c r="H9">
        <v>80000</v>
      </c>
      <c r="I9">
        <v>50000</v>
      </c>
      <c r="J9">
        <v>40000</v>
      </c>
      <c r="K9">
        <v>30000</v>
      </c>
      <c r="L9">
        <v>32000</v>
      </c>
      <c r="M9">
        <v>90000</v>
      </c>
      <c r="N9">
        <v>160000</v>
      </c>
      <c r="O9">
        <v>40000</v>
      </c>
      <c r="P9">
        <v>200000</v>
      </c>
      <c r="Q9">
        <v>300000</v>
      </c>
      <c r="S9" t="s">
        <v>30</v>
      </c>
      <c r="T9">
        <v>50</v>
      </c>
      <c r="V9">
        <v>4</v>
      </c>
      <c r="W9" t="s">
        <v>8</v>
      </c>
      <c r="X9" t="s">
        <v>5</v>
      </c>
      <c r="Y9">
        <v>30000</v>
      </c>
    </row>
    <row r="10" spans="2:25" x14ac:dyDescent="0.25">
      <c r="B10">
        <v>6</v>
      </c>
      <c r="C10" t="s">
        <v>10</v>
      </c>
      <c r="D10" t="s">
        <v>15</v>
      </c>
      <c r="E10">
        <v>90000</v>
      </c>
      <c r="S10" t="s">
        <v>31</v>
      </c>
      <c r="T10">
        <v>70</v>
      </c>
      <c r="V10">
        <v>5</v>
      </c>
      <c r="W10" t="s">
        <v>9</v>
      </c>
      <c r="X10" t="s">
        <v>5</v>
      </c>
      <c r="Y10">
        <v>32000</v>
      </c>
    </row>
    <row r="11" spans="2:25" x14ac:dyDescent="0.25">
      <c r="B11">
        <v>7</v>
      </c>
      <c r="C11" t="s">
        <v>4</v>
      </c>
      <c r="D11" t="s">
        <v>15</v>
      </c>
      <c r="E11">
        <v>160000</v>
      </c>
      <c r="V11">
        <v>6</v>
      </c>
      <c r="W11" t="s">
        <v>10</v>
      </c>
      <c r="X11" t="s">
        <v>15</v>
      </c>
      <c r="Y11">
        <v>90000</v>
      </c>
    </row>
    <row r="12" spans="2:25" x14ac:dyDescent="0.25">
      <c r="B12">
        <v>8</v>
      </c>
      <c r="C12" t="s">
        <v>11</v>
      </c>
      <c r="D12" t="s">
        <v>5</v>
      </c>
      <c r="E12">
        <v>40000</v>
      </c>
      <c r="I12" t="s">
        <v>16</v>
      </c>
      <c r="J12">
        <f>HLOOKUP(J7,H7:Q9,3,0)</f>
        <v>40000</v>
      </c>
      <c r="S12" t="s">
        <v>29</v>
      </c>
      <c r="T12">
        <f>MATCH(S8,S7:S10,0)</f>
        <v>2</v>
      </c>
      <c r="V12">
        <v>7</v>
      </c>
      <c r="W12" t="s">
        <v>4</v>
      </c>
      <c r="X12" t="s">
        <v>15</v>
      </c>
      <c r="Y12">
        <v>160000</v>
      </c>
    </row>
    <row r="13" spans="2:25" x14ac:dyDescent="0.25">
      <c r="B13">
        <v>9</v>
      </c>
      <c r="C13" t="s">
        <v>12</v>
      </c>
      <c r="D13" t="s">
        <v>14</v>
      </c>
      <c r="E13">
        <v>200000</v>
      </c>
      <c r="I13" t="s">
        <v>13</v>
      </c>
      <c r="J13" t="str">
        <f>HLOOKUP(Q7,H7:Q9,2,0)</f>
        <v>Camara</v>
      </c>
      <c r="S13" t="s">
        <v>30</v>
      </c>
      <c r="T13">
        <f>MATCH(S9,S7:S10,0)</f>
        <v>3</v>
      </c>
      <c r="V13">
        <v>8</v>
      </c>
      <c r="W13" t="s">
        <v>11</v>
      </c>
      <c r="X13" t="s">
        <v>5</v>
      </c>
      <c r="Y13">
        <v>40000</v>
      </c>
    </row>
    <row r="14" spans="2:25" x14ac:dyDescent="0.25">
      <c r="B14">
        <v>10</v>
      </c>
      <c r="C14" t="s">
        <v>13</v>
      </c>
      <c r="D14" t="s">
        <v>14</v>
      </c>
      <c r="E14">
        <v>300000</v>
      </c>
      <c r="V14">
        <v>9</v>
      </c>
      <c r="W14" t="s">
        <v>12</v>
      </c>
      <c r="X14" t="s">
        <v>14</v>
      </c>
      <c r="Y14">
        <v>200000</v>
      </c>
    </row>
    <row r="15" spans="2:25" x14ac:dyDescent="0.25">
      <c r="V15">
        <v>10</v>
      </c>
      <c r="W15" t="s">
        <v>13</v>
      </c>
      <c r="X15" t="s">
        <v>14</v>
      </c>
      <c r="Y15">
        <v>300000</v>
      </c>
    </row>
    <row r="16" spans="2:25" x14ac:dyDescent="0.25">
      <c r="B16" t="s">
        <v>4</v>
      </c>
      <c r="C16">
        <f>VLOOKUP(C5,Table1[[Description]:[Price in INR]],3,0)</f>
        <v>80000</v>
      </c>
    </row>
    <row r="17" spans="2:24" x14ac:dyDescent="0.25">
      <c r="B17" t="s">
        <v>11</v>
      </c>
      <c r="C17" t="str">
        <f>VLOOKUP(C12,Table1[[Description]:[Price in INR]],2,0)</f>
        <v>Mobile</v>
      </c>
    </row>
    <row r="18" spans="2:24" x14ac:dyDescent="0.25">
      <c r="W18" t="s">
        <v>10</v>
      </c>
      <c r="X18">
        <f>INDEX(Table114[[Description]:[Price in INR]],6,3)</f>
        <v>90000</v>
      </c>
    </row>
    <row r="19" spans="2:24" x14ac:dyDescent="0.25">
      <c r="W19" t="s">
        <v>8</v>
      </c>
      <c r="X19" t="str">
        <f>INDEX(Table114[[Description]:[Price in INR]],4,2)</f>
        <v>Mobile</v>
      </c>
    </row>
    <row r="20" spans="2:24" x14ac:dyDescent="0.25">
      <c r="B20" s="2" t="s">
        <v>36</v>
      </c>
      <c r="C20" s="2"/>
      <c r="D20" s="2"/>
      <c r="E20" s="2"/>
    </row>
    <row r="21" spans="2:24" x14ac:dyDescent="0.25">
      <c r="B21" t="s">
        <v>0</v>
      </c>
      <c r="C21" t="s">
        <v>1</v>
      </c>
      <c r="D21" t="s">
        <v>2</v>
      </c>
      <c r="E21" t="s">
        <v>3</v>
      </c>
    </row>
    <row r="22" spans="2:24" x14ac:dyDescent="0.25">
      <c r="B22">
        <v>1</v>
      </c>
      <c r="C22" t="s">
        <v>4</v>
      </c>
      <c r="D22" t="s">
        <v>5</v>
      </c>
      <c r="E22">
        <v>80000</v>
      </c>
    </row>
    <row r="23" spans="2:24" x14ac:dyDescent="0.25">
      <c r="B23">
        <v>2</v>
      </c>
      <c r="C23" t="s">
        <v>6</v>
      </c>
      <c r="D23" t="s">
        <v>5</v>
      </c>
      <c r="E23">
        <v>50000</v>
      </c>
    </row>
    <row r="24" spans="2:24" x14ac:dyDescent="0.25">
      <c r="B24">
        <v>3</v>
      </c>
      <c r="C24" t="s">
        <v>7</v>
      </c>
      <c r="D24" t="s">
        <v>5</v>
      </c>
      <c r="E24">
        <v>40000</v>
      </c>
    </row>
    <row r="25" spans="2:24" x14ac:dyDescent="0.25">
      <c r="B25">
        <v>4</v>
      </c>
      <c r="C25" t="s">
        <v>8</v>
      </c>
      <c r="D25" t="s">
        <v>5</v>
      </c>
      <c r="E25">
        <v>30000</v>
      </c>
    </row>
    <row r="26" spans="2:24" x14ac:dyDescent="0.25">
      <c r="B26">
        <v>5</v>
      </c>
      <c r="C26" t="s">
        <v>9</v>
      </c>
      <c r="D26" t="s">
        <v>5</v>
      </c>
      <c r="E26">
        <v>32000</v>
      </c>
    </row>
    <row r="27" spans="2:24" x14ac:dyDescent="0.25">
      <c r="B27">
        <v>6</v>
      </c>
      <c r="C27" t="s">
        <v>10</v>
      </c>
      <c r="D27" t="s">
        <v>15</v>
      </c>
      <c r="E27">
        <v>90000</v>
      </c>
    </row>
    <row r="28" spans="2:24" x14ac:dyDescent="0.25">
      <c r="B28">
        <v>7</v>
      </c>
      <c r="C28" t="s">
        <v>4</v>
      </c>
      <c r="D28" t="s">
        <v>15</v>
      </c>
      <c r="E28">
        <v>160000</v>
      </c>
    </row>
    <row r="29" spans="2:24" x14ac:dyDescent="0.25">
      <c r="B29">
        <v>8</v>
      </c>
      <c r="C29" t="s">
        <v>11</v>
      </c>
      <c r="D29" t="s">
        <v>5</v>
      </c>
      <c r="E29">
        <v>40000</v>
      </c>
    </row>
    <row r="30" spans="2:24" x14ac:dyDescent="0.25">
      <c r="B30">
        <v>9</v>
      </c>
      <c r="C30" t="s">
        <v>12</v>
      </c>
      <c r="D30" t="s">
        <v>14</v>
      </c>
      <c r="E30">
        <v>200000</v>
      </c>
    </row>
    <row r="31" spans="2:24" x14ac:dyDescent="0.25">
      <c r="B31">
        <v>10</v>
      </c>
      <c r="C31" t="s">
        <v>13</v>
      </c>
      <c r="D31" t="s">
        <v>14</v>
      </c>
      <c r="E31">
        <v>300000</v>
      </c>
    </row>
    <row r="33" spans="3:5" x14ac:dyDescent="0.25">
      <c r="C33" s="1" t="s">
        <v>10</v>
      </c>
      <c r="D33">
        <f>_xlfn.XLOOKUP(C27,Table115[Description],Table115[Price in INR])</f>
        <v>90000</v>
      </c>
    </row>
    <row r="34" spans="3:5" x14ac:dyDescent="0.25">
      <c r="C34" t="s">
        <v>30</v>
      </c>
      <c r="D34" t="str">
        <f>_xlfn.XLOOKUP(S8,C22:C31,E22:E31,"Not found")</f>
        <v>Not found</v>
      </c>
    </row>
    <row r="35" spans="3:5" x14ac:dyDescent="0.25">
      <c r="C35" t="s">
        <v>9</v>
      </c>
      <c r="D35" t="str" cm="1">
        <f t="array" ref="D35:E35">_xlfn.XLOOKUP(C26,Table115[Description],Table115[[Type]:[Price in INR]])</f>
        <v>Mobile</v>
      </c>
      <c r="E35">
        <v>32000</v>
      </c>
    </row>
  </sheetData>
  <mergeCells count="5">
    <mergeCell ref="B20:E20"/>
    <mergeCell ref="B3:E3"/>
    <mergeCell ref="G5:Q5"/>
    <mergeCell ref="S5:T5"/>
    <mergeCell ref="V4:Y4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2026-06-02T06:08:41Z</dcterms:modified>
</cp:coreProperties>
</file>