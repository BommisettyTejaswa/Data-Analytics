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54\"/>
    </mc:Choice>
  </mc:AlternateContent>
  <xr:revisionPtr revIDLastSave="0" documentId="13_ncr:1_{415B048F-AF35-402F-BA1B-D040D35DAF18}" xr6:coauthVersionLast="47" xr6:coauthVersionMax="47" xr10:uidLastSave="{00000000-0000-0000-0000-000000000000}"/>
  <bookViews>
    <workbookView xWindow="-120" yWindow="-120" windowWidth="29040" windowHeight="15720" activeTab="3" xr2:uid="{75FC131F-E8E1-426F-B435-84BEBF860A18}"/>
  </bookViews>
  <sheets>
    <sheet name="Sheet4" sheetId="4" r:id="rId1"/>
    <sheet name="Sheet2" sheetId="5" r:id="rId2"/>
    <sheet name="Sheet3" sheetId="6" r:id="rId3"/>
    <sheet name="Sheet1" sheetId="1" r:id="rId4"/>
  </sheets>
  <definedNames>
    <definedName name="Slicer_Age_criteria">#N/A</definedName>
    <definedName name="Slicer_credits">#N/A</definedName>
    <definedName name="Slicer_Gender1">#N/A</definedName>
    <definedName name="Slicer_Geography">#N/A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Y6" i="1" l="1"/>
  <c r="AC5" i="1" s="1"/>
  <c r="Y7" i="1"/>
  <c r="Y8" i="1"/>
  <c r="Y9" i="1"/>
  <c r="J30" i="1"/>
  <c r="J29" i="1"/>
  <c r="I14" i="1"/>
  <c r="I15" i="1"/>
  <c r="I16" i="1"/>
  <c r="I11" i="1"/>
  <c r="I12" i="1"/>
  <c r="I13" i="1"/>
  <c r="I5" i="1"/>
  <c r="I4" i="1"/>
  <c r="I2" i="1"/>
  <c r="I8" i="1"/>
  <c r="I10" i="1"/>
  <c r="I17" i="1"/>
  <c r="I9" i="1"/>
  <c r="I18" i="1"/>
  <c r="I6" i="1"/>
  <c r="I3" i="1"/>
  <c r="I7" i="1"/>
</calcChain>
</file>

<file path=xl/sharedStrings.xml><?xml version="1.0" encoding="utf-8"?>
<sst xmlns="http://schemas.openxmlformats.org/spreadsheetml/2006/main" count="190" uniqueCount="62">
  <si>
    <t>Sno</t>
  </si>
  <si>
    <t>customer</t>
  </si>
  <si>
    <t>credits</t>
  </si>
  <si>
    <t>Geography</t>
  </si>
  <si>
    <t>Gender</t>
  </si>
  <si>
    <t>Age</t>
  </si>
  <si>
    <t>Balance</t>
  </si>
  <si>
    <t>Malhotra</t>
  </si>
  <si>
    <t>France</t>
  </si>
  <si>
    <t>Female</t>
  </si>
  <si>
    <t>Patel</t>
  </si>
  <si>
    <t>Germany</t>
  </si>
  <si>
    <t>Male</t>
  </si>
  <si>
    <t>Jain</t>
  </si>
  <si>
    <t>Spain</t>
  </si>
  <si>
    <t>Singh</t>
  </si>
  <si>
    <t>India</t>
  </si>
  <si>
    <t>Chopra</t>
  </si>
  <si>
    <t>Mehta</t>
  </si>
  <si>
    <t>Yadav</t>
  </si>
  <si>
    <t>Iyer</t>
  </si>
  <si>
    <t>Saxena</t>
  </si>
  <si>
    <t>Joshi</t>
  </si>
  <si>
    <t>Verma</t>
  </si>
  <si>
    <t>Mishra</t>
  </si>
  <si>
    <t>Reddy</t>
  </si>
  <si>
    <t>Bose</t>
  </si>
  <si>
    <t>Gupta</t>
  </si>
  <si>
    <t>Kulkarni</t>
  </si>
  <si>
    <t>Nair</t>
  </si>
  <si>
    <t>Column Labels</t>
  </si>
  <si>
    <t>Row Labels</t>
  </si>
  <si>
    <t>Grand Total</t>
  </si>
  <si>
    <t>Sum of credits</t>
  </si>
  <si>
    <t>Age criteria</t>
  </si>
  <si>
    <t>Above 40</t>
  </si>
  <si>
    <t>name</t>
  </si>
  <si>
    <t>Above 10</t>
  </si>
  <si>
    <t>Above 20</t>
  </si>
  <si>
    <t>Above 30</t>
  </si>
  <si>
    <t>Above 50</t>
  </si>
  <si>
    <t>Below10</t>
  </si>
  <si>
    <t>#Error</t>
  </si>
  <si>
    <t>Tejaswa</t>
  </si>
  <si>
    <t>Text to column</t>
  </si>
  <si>
    <t>Bommisetty</t>
  </si>
  <si>
    <t>Data Validation</t>
  </si>
  <si>
    <t>Rahul</t>
  </si>
  <si>
    <t>Manjunath</t>
  </si>
  <si>
    <t>Anjith Kummmmmar</t>
  </si>
  <si>
    <t>Student</t>
  </si>
  <si>
    <t>Semester 1</t>
  </si>
  <si>
    <t>Semester2</t>
  </si>
  <si>
    <t>Semester 3</t>
  </si>
  <si>
    <t>Semester 4</t>
  </si>
  <si>
    <t>A</t>
  </si>
  <si>
    <t>B</t>
  </si>
  <si>
    <t>C</t>
  </si>
  <si>
    <t>D</t>
  </si>
  <si>
    <t>E</t>
  </si>
  <si>
    <t>Capstone</t>
  </si>
  <si>
    <t>Overall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</si>
</sst>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1" xfId="0" applyBorder="1"/>
    <xf numFmtId="1" fontId="0" fillId="0" borderId="1" xfId="0" applyNumberFormat="1" applyBorder="1"/>
    <xf numFmtId="0" fontId="0" fillId="0" borderId="0" xfId="0" applyAlignment="1">
      <alignment wrapText="1"/>
    </xf>
    <xf numFmtId="0" fontId="0" fillId="0" borderId="1" xfId="0" applyBorder="1" applyAlignment="1">
      <alignment horizontal="center"/>
    </xf>
    <xf numFmtId="164" fontId="0" fillId="0" borderId="0" xfId="0" applyNumberFormat="1"/>
    <xf numFmtId="164" fontId="0" fillId="0" borderId="1" xfId="0" applyNumberFormat="1" applyBorder="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[Slice.xlsx]Sheet4!PivotTable14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Above 10</c:v>
                </c:pt>
              </c:strCache>
            </c:strRef>
          </c:tx>
          <c:spPr>
            <a:solidFill>
              <a:schemeClr val="accent1"/>
            </a:solidFill>
            <a:ln>
              <a:noFill/>
            </a:ln>
            <a:effectLst/>
          </c:spPr>
          <c:invertIfNegative val="0"/>
          <c:cat>
            <c:strRef>
              <c:f>Sheet4!$A$5:$A$7</c:f>
              <c:strCache>
                <c:ptCount val="2"/>
                <c:pt idx="0">
                  <c:v>Female</c:v>
                </c:pt>
                <c:pt idx="1">
                  <c:v>Male</c:v>
                </c:pt>
              </c:strCache>
            </c:strRef>
          </c:cat>
          <c:val>
            <c:numRef>
              <c:f>Sheet4!$B$5:$B$7</c:f>
              <c:numCache>
                <c:formatCode>0</c:formatCode>
                <c:ptCount val="2"/>
                <c:pt idx="0">
                  <c:v>729</c:v>
                </c:pt>
                <c:pt idx="1">
                  <c:v>368</c:v>
                </c:pt>
              </c:numCache>
            </c:numRef>
          </c:val>
          <c:extLst>
            <c:ext xmlns:c16="http://schemas.microsoft.com/office/drawing/2014/chart" uri="{C3380CC4-5D6E-409C-BE32-E72D297353CC}">
              <c16:uniqueId val="{00000000-7A06-4FF7-A405-BD6F04DAEFA0}"/>
            </c:ext>
          </c:extLst>
        </c:ser>
        <c:ser>
          <c:idx val="1"/>
          <c:order val="1"/>
          <c:tx>
            <c:strRef>
              <c:f>Sheet4!$C$3:$C$4</c:f>
              <c:strCache>
                <c:ptCount val="1"/>
                <c:pt idx="0">
                  <c:v>Above 20</c:v>
                </c:pt>
              </c:strCache>
            </c:strRef>
          </c:tx>
          <c:spPr>
            <a:solidFill>
              <a:schemeClr val="accent2"/>
            </a:solidFill>
            <a:ln>
              <a:noFill/>
            </a:ln>
            <a:effectLst/>
          </c:spPr>
          <c:invertIfNegative val="0"/>
          <c:cat>
            <c:strRef>
              <c:f>Sheet4!$A$5:$A$7</c:f>
              <c:strCache>
                <c:ptCount val="2"/>
                <c:pt idx="0">
                  <c:v>Female</c:v>
                </c:pt>
                <c:pt idx="1">
                  <c:v>Male</c:v>
                </c:pt>
              </c:strCache>
            </c:strRef>
          </c:cat>
          <c:val>
            <c:numRef>
              <c:f>Sheet4!$C$5:$C$7</c:f>
              <c:numCache>
                <c:formatCode>0</c:formatCode>
                <c:ptCount val="2"/>
                <c:pt idx="0">
                  <c:v>3294</c:v>
                </c:pt>
                <c:pt idx="1">
                  <c:v>1394</c:v>
                </c:pt>
              </c:numCache>
            </c:numRef>
          </c:val>
          <c:extLst>
            <c:ext xmlns:c16="http://schemas.microsoft.com/office/drawing/2014/chart" uri="{C3380CC4-5D6E-409C-BE32-E72D297353CC}">
              <c16:uniqueId val="{00000015-84F6-4C7F-A508-71DA223D612B}"/>
            </c:ext>
          </c:extLst>
        </c:ser>
        <c:ser>
          <c:idx val="2"/>
          <c:order val="2"/>
          <c:tx>
            <c:strRef>
              <c:f>Sheet4!$D$3:$D$4</c:f>
              <c:strCache>
                <c:ptCount val="1"/>
                <c:pt idx="0">
                  <c:v>Above 30</c:v>
                </c:pt>
              </c:strCache>
            </c:strRef>
          </c:tx>
          <c:spPr>
            <a:solidFill>
              <a:schemeClr val="accent3"/>
            </a:solidFill>
            <a:ln>
              <a:noFill/>
            </a:ln>
            <a:effectLst/>
          </c:spPr>
          <c:invertIfNegative val="0"/>
          <c:cat>
            <c:strRef>
              <c:f>Sheet4!$A$5:$A$7</c:f>
              <c:strCache>
                <c:ptCount val="2"/>
                <c:pt idx="0">
                  <c:v>Female</c:v>
                </c:pt>
                <c:pt idx="1">
                  <c:v>Male</c:v>
                </c:pt>
              </c:strCache>
            </c:strRef>
          </c:cat>
          <c:val>
            <c:numRef>
              <c:f>Sheet4!$D$5:$D$7</c:f>
              <c:numCache>
                <c:formatCode>0</c:formatCode>
                <c:ptCount val="2"/>
                <c:pt idx="1">
                  <c:v>969</c:v>
                </c:pt>
              </c:numCache>
            </c:numRef>
          </c:val>
          <c:extLst>
            <c:ext xmlns:c16="http://schemas.microsoft.com/office/drawing/2014/chart" uri="{C3380CC4-5D6E-409C-BE32-E72D297353CC}">
              <c16:uniqueId val="{00000016-84F6-4C7F-A508-71DA223D612B}"/>
            </c:ext>
          </c:extLst>
        </c:ser>
        <c:ser>
          <c:idx val="3"/>
          <c:order val="3"/>
          <c:tx>
            <c:strRef>
              <c:f>Sheet4!$E$3:$E$4</c:f>
              <c:strCache>
                <c:ptCount val="1"/>
                <c:pt idx="0">
                  <c:v>Above 40</c:v>
                </c:pt>
              </c:strCache>
            </c:strRef>
          </c:tx>
          <c:spPr>
            <a:solidFill>
              <a:schemeClr val="accent4"/>
            </a:solidFill>
            <a:ln>
              <a:noFill/>
            </a:ln>
            <a:effectLst/>
          </c:spPr>
          <c:invertIfNegative val="0"/>
          <c:cat>
            <c:strRef>
              <c:f>Sheet4!$A$5:$A$7</c:f>
              <c:strCache>
                <c:ptCount val="2"/>
                <c:pt idx="0">
                  <c:v>Female</c:v>
                </c:pt>
                <c:pt idx="1">
                  <c:v>Male</c:v>
                </c:pt>
              </c:strCache>
            </c:strRef>
          </c:cat>
          <c:val>
            <c:numRef>
              <c:f>Sheet4!$E$5:$E$7</c:f>
              <c:numCache>
                <c:formatCode>0</c:formatCode>
                <c:ptCount val="2"/>
                <c:pt idx="0">
                  <c:v>823</c:v>
                </c:pt>
              </c:numCache>
            </c:numRef>
          </c:val>
          <c:extLst>
            <c:ext xmlns:c16="http://schemas.microsoft.com/office/drawing/2014/chart" uri="{C3380CC4-5D6E-409C-BE32-E72D297353CC}">
              <c16:uniqueId val="{00000017-84F6-4C7F-A508-71DA223D612B}"/>
            </c:ext>
          </c:extLst>
        </c:ser>
        <c:ser>
          <c:idx val="4"/>
          <c:order val="4"/>
          <c:tx>
            <c:strRef>
              <c:f>Sheet4!$F$3:$F$4</c:f>
              <c:strCache>
                <c:ptCount val="1"/>
                <c:pt idx="0">
                  <c:v>Above 50</c:v>
                </c:pt>
              </c:strCache>
            </c:strRef>
          </c:tx>
          <c:spPr>
            <a:solidFill>
              <a:schemeClr val="accent5"/>
            </a:solidFill>
            <a:ln>
              <a:noFill/>
            </a:ln>
            <a:effectLst/>
          </c:spPr>
          <c:invertIfNegative val="0"/>
          <c:cat>
            <c:strRef>
              <c:f>Sheet4!$A$5:$A$7</c:f>
              <c:strCache>
                <c:ptCount val="2"/>
                <c:pt idx="0">
                  <c:v>Female</c:v>
                </c:pt>
                <c:pt idx="1">
                  <c:v>Male</c:v>
                </c:pt>
              </c:strCache>
            </c:strRef>
          </c:cat>
          <c:val>
            <c:numRef>
              <c:f>Sheet4!$F$5:$F$7</c:f>
              <c:numCache>
                <c:formatCode>0</c:formatCode>
                <c:ptCount val="2"/>
                <c:pt idx="0">
                  <c:v>472</c:v>
                </c:pt>
                <c:pt idx="1">
                  <c:v>1181</c:v>
                </c:pt>
              </c:numCache>
            </c:numRef>
          </c:val>
          <c:extLst>
            <c:ext xmlns:c16="http://schemas.microsoft.com/office/drawing/2014/chart" uri="{C3380CC4-5D6E-409C-BE32-E72D297353CC}">
              <c16:uniqueId val="{00000018-84F6-4C7F-A508-71DA223D612B}"/>
            </c:ext>
          </c:extLst>
        </c:ser>
        <c:ser>
          <c:idx val="5"/>
          <c:order val="5"/>
          <c:tx>
            <c:strRef>
              <c:f>Sheet4!$G$3:$G$4</c:f>
              <c:strCache>
                <c:ptCount val="1"/>
                <c:pt idx="0">
                  <c:v>Below10</c:v>
                </c:pt>
              </c:strCache>
            </c:strRef>
          </c:tx>
          <c:spPr>
            <a:solidFill>
              <a:schemeClr val="accent6"/>
            </a:solidFill>
            <a:ln>
              <a:noFill/>
            </a:ln>
            <a:effectLst/>
          </c:spPr>
          <c:invertIfNegative val="0"/>
          <c:cat>
            <c:strRef>
              <c:f>Sheet4!$A$5:$A$7</c:f>
              <c:strCache>
                <c:ptCount val="2"/>
                <c:pt idx="0">
                  <c:v>Female</c:v>
                </c:pt>
                <c:pt idx="1">
                  <c:v>Male</c:v>
                </c:pt>
              </c:strCache>
            </c:strRef>
          </c:cat>
          <c:val>
            <c:numRef>
              <c:f>Sheet4!$G$5:$G$7</c:f>
              <c:numCache>
                <c:formatCode>0</c:formatCode>
                <c:ptCount val="2"/>
                <c:pt idx="0">
                  <c:v>576</c:v>
                </c:pt>
              </c:numCache>
            </c:numRef>
          </c:val>
          <c:extLst>
            <c:ext xmlns:c16="http://schemas.microsoft.com/office/drawing/2014/chart" uri="{C3380CC4-5D6E-409C-BE32-E72D297353CC}">
              <c16:uniqueId val="{00000019-84F6-4C7F-A508-71DA223D612B}"/>
            </c:ext>
          </c:extLst>
        </c:ser>
        <c:dLbls>
          <c:showLegendKey val="0"/>
          <c:showVal val="0"/>
          <c:showCatName val="0"/>
          <c:showSerName val="0"/>
          <c:showPercent val="0"/>
          <c:showBubbleSize val="0"/>
        </c:dLbls>
        <c:gapWidth val="219"/>
        <c:overlap val="-27"/>
        <c:axId val="1893903119"/>
        <c:axId val="1893899759"/>
      </c:barChart>
      <c:catAx>
        <c:axId val="189390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899759"/>
        <c:crosses val="autoZero"/>
        <c:auto val="1"/>
        <c:lblAlgn val="ctr"/>
        <c:lblOffset val="100"/>
        <c:noMultiLvlLbl val="0"/>
      </c:catAx>
      <c:valAx>
        <c:axId val="189389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90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[Slice.xlsx]Sheet4!PivotTable14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Above 10</c:v>
                </c:pt>
              </c:strCache>
            </c:strRef>
          </c:tx>
          <c:spPr>
            <a:ln w="28575" cap="rnd">
              <a:solidFill>
                <a:schemeClr val="accent1"/>
              </a:solidFill>
              <a:round/>
            </a:ln>
            <a:effectLst/>
          </c:spPr>
          <c:marker>
            <c:symbol val="none"/>
          </c:marker>
          <c:cat>
            <c:strRef>
              <c:f>Sheet4!$A$5:$A$7</c:f>
              <c:strCache>
                <c:ptCount val="2"/>
                <c:pt idx="0">
                  <c:v>Female</c:v>
                </c:pt>
                <c:pt idx="1">
                  <c:v>Male</c:v>
                </c:pt>
              </c:strCache>
            </c:strRef>
          </c:cat>
          <c:val>
            <c:numRef>
              <c:f>Sheet4!$B$5:$B$7</c:f>
              <c:numCache>
                <c:formatCode>0</c:formatCode>
                <c:ptCount val="2"/>
                <c:pt idx="0">
                  <c:v>729</c:v>
                </c:pt>
                <c:pt idx="1">
                  <c:v>368</c:v>
                </c:pt>
              </c:numCache>
            </c:numRef>
          </c:val>
          <c:smooth val="0"/>
          <c:extLst>
            <c:ext xmlns:c16="http://schemas.microsoft.com/office/drawing/2014/chart" uri="{C3380CC4-5D6E-409C-BE32-E72D297353CC}">
              <c16:uniqueId val="{00000000-85D4-4BB0-9948-836DBCC2E1C8}"/>
            </c:ext>
          </c:extLst>
        </c:ser>
        <c:ser>
          <c:idx val="1"/>
          <c:order val="1"/>
          <c:tx>
            <c:strRef>
              <c:f>Sheet4!$C$3:$C$4</c:f>
              <c:strCache>
                <c:ptCount val="1"/>
                <c:pt idx="0">
                  <c:v>Above 20</c:v>
                </c:pt>
              </c:strCache>
            </c:strRef>
          </c:tx>
          <c:spPr>
            <a:ln w="28575" cap="rnd">
              <a:solidFill>
                <a:schemeClr val="accent2"/>
              </a:solidFill>
              <a:round/>
            </a:ln>
            <a:effectLst/>
          </c:spPr>
          <c:marker>
            <c:symbol val="none"/>
          </c:marker>
          <c:cat>
            <c:strRef>
              <c:f>Sheet4!$A$5:$A$7</c:f>
              <c:strCache>
                <c:ptCount val="2"/>
                <c:pt idx="0">
                  <c:v>Female</c:v>
                </c:pt>
                <c:pt idx="1">
                  <c:v>Male</c:v>
                </c:pt>
              </c:strCache>
            </c:strRef>
          </c:cat>
          <c:val>
            <c:numRef>
              <c:f>Sheet4!$C$5:$C$7</c:f>
              <c:numCache>
                <c:formatCode>0</c:formatCode>
                <c:ptCount val="2"/>
                <c:pt idx="0">
                  <c:v>3294</c:v>
                </c:pt>
                <c:pt idx="1">
                  <c:v>1394</c:v>
                </c:pt>
              </c:numCache>
            </c:numRef>
          </c:val>
          <c:smooth val="0"/>
          <c:extLst>
            <c:ext xmlns:c16="http://schemas.microsoft.com/office/drawing/2014/chart" uri="{C3380CC4-5D6E-409C-BE32-E72D297353CC}">
              <c16:uniqueId val="{00000015-B51C-4C2F-B33A-0256F70C613A}"/>
            </c:ext>
          </c:extLst>
        </c:ser>
        <c:ser>
          <c:idx val="2"/>
          <c:order val="2"/>
          <c:tx>
            <c:strRef>
              <c:f>Sheet4!$D$3:$D$4</c:f>
              <c:strCache>
                <c:ptCount val="1"/>
                <c:pt idx="0">
                  <c:v>Above 30</c:v>
                </c:pt>
              </c:strCache>
            </c:strRef>
          </c:tx>
          <c:spPr>
            <a:ln w="28575" cap="rnd">
              <a:solidFill>
                <a:schemeClr val="accent3"/>
              </a:solidFill>
              <a:round/>
            </a:ln>
            <a:effectLst/>
          </c:spPr>
          <c:marker>
            <c:symbol val="none"/>
          </c:marker>
          <c:cat>
            <c:strRef>
              <c:f>Sheet4!$A$5:$A$7</c:f>
              <c:strCache>
                <c:ptCount val="2"/>
                <c:pt idx="0">
                  <c:v>Female</c:v>
                </c:pt>
                <c:pt idx="1">
                  <c:v>Male</c:v>
                </c:pt>
              </c:strCache>
            </c:strRef>
          </c:cat>
          <c:val>
            <c:numRef>
              <c:f>Sheet4!$D$5:$D$7</c:f>
              <c:numCache>
                <c:formatCode>0</c:formatCode>
                <c:ptCount val="2"/>
                <c:pt idx="1">
                  <c:v>969</c:v>
                </c:pt>
              </c:numCache>
            </c:numRef>
          </c:val>
          <c:smooth val="0"/>
          <c:extLst>
            <c:ext xmlns:c16="http://schemas.microsoft.com/office/drawing/2014/chart" uri="{C3380CC4-5D6E-409C-BE32-E72D297353CC}">
              <c16:uniqueId val="{00000016-B51C-4C2F-B33A-0256F70C613A}"/>
            </c:ext>
          </c:extLst>
        </c:ser>
        <c:ser>
          <c:idx val="3"/>
          <c:order val="3"/>
          <c:tx>
            <c:strRef>
              <c:f>Sheet4!$E$3:$E$4</c:f>
              <c:strCache>
                <c:ptCount val="1"/>
                <c:pt idx="0">
                  <c:v>Above 40</c:v>
                </c:pt>
              </c:strCache>
            </c:strRef>
          </c:tx>
          <c:spPr>
            <a:ln w="28575" cap="rnd">
              <a:solidFill>
                <a:schemeClr val="accent4"/>
              </a:solidFill>
              <a:round/>
            </a:ln>
            <a:effectLst/>
          </c:spPr>
          <c:marker>
            <c:symbol val="none"/>
          </c:marker>
          <c:cat>
            <c:strRef>
              <c:f>Sheet4!$A$5:$A$7</c:f>
              <c:strCache>
                <c:ptCount val="2"/>
                <c:pt idx="0">
                  <c:v>Female</c:v>
                </c:pt>
                <c:pt idx="1">
                  <c:v>Male</c:v>
                </c:pt>
              </c:strCache>
            </c:strRef>
          </c:cat>
          <c:val>
            <c:numRef>
              <c:f>Sheet4!$E$5:$E$7</c:f>
              <c:numCache>
                <c:formatCode>0</c:formatCode>
                <c:ptCount val="2"/>
                <c:pt idx="0">
                  <c:v>823</c:v>
                </c:pt>
              </c:numCache>
            </c:numRef>
          </c:val>
          <c:smooth val="0"/>
          <c:extLst>
            <c:ext xmlns:c16="http://schemas.microsoft.com/office/drawing/2014/chart" uri="{C3380CC4-5D6E-409C-BE32-E72D297353CC}">
              <c16:uniqueId val="{00000017-B51C-4C2F-B33A-0256F70C613A}"/>
            </c:ext>
          </c:extLst>
        </c:ser>
        <c:ser>
          <c:idx val="4"/>
          <c:order val="4"/>
          <c:tx>
            <c:strRef>
              <c:f>Sheet4!$F$3:$F$4</c:f>
              <c:strCache>
                <c:ptCount val="1"/>
                <c:pt idx="0">
                  <c:v>Above 50</c:v>
                </c:pt>
              </c:strCache>
            </c:strRef>
          </c:tx>
          <c:spPr>
            <a:ln w="28575" cap="rnd">
              <a:solidFill>
                <a:schemeClr val="accent5"/>
              </a:solidFill>
              <a:round/>
            </a:ln>
            <a:effectLst/>
          </c:spPr>
          <c:marker>
            <c:symbol val="none"/>
          </c:marker>
          <c:cat>
            <c:strRef>
              <c:f>Sheet4!$A$5:$A$7</c:f>
              <c:strCache>
                <c:ptCount val="2"/>
                <c:pt idx="0">
                  <c:v>Female</c:v>
                </c:pt>
                <c:pt idx="1">
                  <c:v>Male</c:v>
                </c:pt>
              </c:strCache>
            </c:strRef>
          </c:cat>
          <c:val>
            <c:numRef>
              <c:f>Sheet4!$F$5:$F$7</c:f>
              <c:numCache>
                <c:formatCode>0</c:formatCode>
                <c:ptCount val="2"/>
                <c:pt idx="0">
                  <c:v>472</c:v>
                </c:pt>
                <c:pt idx="1">
                  <c:v>1181</c:v>
                </c:pt>
              </c:numCache>
            </c:numRef>
          </c:val>
          <c:smooth val="0"/>
          <c:extLst>
            <c:ext xmlns:c16="http://schemas.microsoft.com/office/drawing/2014/chart" uri="{C3380CC4-5D6E-409C-BE32-E72D297353CC}">
              <c16:uniqueId val="{00000018-B51C-4C2F-B33A-0256F70C613A}"/>
            </c:ext>
          </c:extLst>
        </c:ser>
        <c:ser>
          <c:idx val="5"/>
          <c:order val="5"/>
          <c:tx>
            <c:strRef>
              <c:f>Sheet4!$G$3:$G$4</c:f>
              <c:strCache>
                <c:ptCount val="1"/>
                <c:pt idx="0">
                  <c:v>Below10</c:v>
                </c:pt>
              </c:strCache>
            </c:strRef>
          </c:tx>
          <c:spPr>
            <a:ln w="28575" cap="rnd">
              <a:solidFill>
                <a:schemeClr val="accent6"/>
              </a:solidFill>
              <a:round/>
            </a:ln>
            <a:effectLst/>
          </c:spPr>
          <c:marker>
            <c:symbol val="none"/>
          </c:marker>
          <c:cat>
            <c:strRef>
              <c:f>Sheet4!$A$5:$A$7</c:f>
              <c:strCache>
                <c:ptCount val="2"/>
                <c:pt idx="0">
                  <c:v>Female</c:v>
                </c:pt>
                <c:pt idx="1">
                  <c:v>Male</c:v>
                </c:pt>
              </c:strCache>
            </c:strRef>
          </c:cat>
          <c:val>
            <c:numRef>
              <c:f>Sheet4!$G$5:$G$7</c:f>
              <c:numCache>
                <c:formatCode>0</c:formatCode>
                <c:ptCount val="2"/>
                <c:pt idx="0">
                  <c:v>576</c:v>
                </c:pt>
              </c:numCache>
            </c:numRef>
          </c:val>
          <c:smooth val="0"/>
          <c:extLst>
            <c:ext xmlns:c16="http://schemas.microsoft.com/office/drawing/2014/chart" uri="{C3380CC4-5D6E-409C-BE32-E72D297353CC}">
              <c16:uniqueId val="{00000019-B51C-4C2F-B33A-0256F70C613A}"/>
            </c:ext>
          </c:extLst>
        </c:ser>
        <c:dLbls>
          <c:showLegendKey val="0"/>
          <c:showVal val="0"/>
          <c:showCatName val="0"/>
          <c:showSerName val="0"/>
          <c:showPercent val="0"/>
          <c:showBubbleSize val="0"/>
        </c:dLbls>
        <c:smooth val="0"/>
        <c:axId val="528029439"/>
        <c:axId val="528031839"/>
      </c:lineChart>
      <c:catAx>
        <c:axId val="5280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31839"/>
        <c:crosses val="autoZero"/>
        <c:auto val="1"/>
        <c:lblAlgn val="ctr"/>
        <c:lblOffset val="100"/>
        <c:noMultiLvlLbl val="0"/>
      </c:catAx>
      <c:valAx>
        <c:axId val="528031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2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[Slice.xlsx]Sheet4!PivotTable14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Sheet4!$B$3:$B$4</c:f>
              <c:strCache>
                <c:ptCount val="1"/>
                <c:pt idx="0">
                  <c:v>Above 10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B8-4B8A-BE37-B38C4BC2A0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B8-4B8A-BE37-B38C4BC2A0C1}"/>
              </c:ext>
            </c:extLst>
          </c:dPt>
          <c:cat>
            <c:strRef>
              <c:f>Sheet4!$A$5:$A$7</c:f>
              <c:strCache>
                <c:ptCount val="2"/>
                <c:pt idx="0">
                  <c:v>Female</c:v>
                </c:pt>
                <c:pt idx="1">
                  <c:v>Male</c:v>
                </c:pt>
              </c:strCache>
            </c:strRef>
          </c:cat>
          <c:val>
            <c:numRef>
              <c:f>Sheet4!$B$5:$B$7</c:f>
              <c:numCache>
                <c:formatCode>0</c:formatCode>
                <c:ptCount val="2"/>
                <c:pt idx="0">
                  <c:v>729</c:v>
                </c:pt>
                <c:pt idx="1">
                  <c:v>368</c:v>
                </c:pt>
              </c:numCache>
            </c:numRef>
          </c:val>
          <c:extLst>
            <c:ext xmlns:c16="http://schemas.microsoft.com/office/drawing/2014/chart" uri="{C3380CC4-5D6E-409C-BE32-E72D297353CC}">
              <c16:uniqueId val="{00000000-1943-44AB-BE13-F825DF041B8E}"/>
            </c:ext>
          </c:extLst>
        </c:ser>
        <c:ser>
          <c:idx val="1"/>
          <c:order val="1"/>
          <c:tx>
            <c:strRef>
              <c:f>Sheet4!$C$3:$C$4</c:f>
              <c:strCache>
                <c:ptCount val="1"/>
                <c:pt idx="0">
                  <c:v>Above 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B04-4114-8341-783DCB4F4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B04-4114-8341-783DCB4F4D47}"/>
              </c:ext>
            </c:extLst>
          </c:dPt>
          <c:cat>
            <c:strRef>
              <c:f>Sheet4!$A$5:$A$7</c:f>
              <c:strCache>
                <c:ptCount val="2"/>
                <c:pt idx="0">
                  <c:v>Female</c:v>
                </c:pt>
                <c:pt idx="1">
                  <c:v>Male</c:v>
                </c:pt>
              </c:strCache>
            </c:strRef>
          </c:cat>
          <c:val>
            <c:numRef>
              <c:f>Sheet4!$C$5:$C$7</c:f>
              <c:numCache>
                <c:formatCode>0</c:formatCode>
                <c:ptCount val="2"/>
                <c:pt idx="0">
                  <c:v>3294</c:v>
                </c:pt>
                <c:pt idx="1">
                  <c:v>1394</c:v>
                </c:pt>
              </c:numCache>
            </c:numRef>
          </c:val>
          <c:extLst>
            <c:ext xmlns:c16="http://schemas.microsoft.com/office/drawing/2014/chart" uri="{C3380CC4-5D6E-409C-BE32-E72D297353CC}">
              <c16:uniqueId val="{0000002D-5DB8-4B8A-BE37-B38C4BC2A0C1}"/>
            </c:ext>
          </c:extLst>
        </c:ser>
        <c:ser>
          <c:idx val="2"/>
          <c:order val="2"/>
          <c:tx>
            <c:strRef>
              <c:f>Sheet4!$D$3:$D$4</c:f>
              <c:strCache>
                <c:ptCount val="1"/>
                <c:pt idx="0">
                  <c:v>Above 30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BB04-4114-8341-783DCB4F4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BB04-4114-8341-783DCB4F4D47}"/>
              </c:ext>
            </c:extLst>
          </c:dPt>
          <c:cat>
            <c:strRef>
              <c:f>Sheet4!$A$5:$A$7</c:f>
              <c:strCache>
                <c:ptCount val="2"/>
                <c:pt idx="0">
                  <c:v>Female</c:v>
                </c:pt>
                <c:pt idx="1">
                  <c:v>Male</c:v>
                </c:pt>
              </c:strCache>
            </c:strRef>
          </c:cat>
          <c:val>
            <c:numRef>
              <c:f>Sheet4!$D$5:$D$7</c:f>
              <c:numCache>
                <c:formatCode>0</c:formatCode>
                <c:ptCount val="2"/>
                <c:pt idx="1">
                  <c:v>969</c:v>
                </c:pt>
              </c:numCache>
            </c:numRef>
          </c:val>
          <c:extLst>
            <c:ext xmlns:c16="http://schemas.microsoft.com/office/drawing/2014/chart" uri="{C3380CC4-5D6E-409C-BE32-E72D297353CC}">
              <c16:uniqueId val="{0000002E-5DB8-4B8A-BE37-B38C4BC2A0C1}"/>
            </c:ext>
          </c:extLst>
        </c:ser>
        <c:ser>
          <c:idx val="3"/>
          <c:order val="3"/>
          <c:tx>
            <c:strRef>
              <c:f>Sheet4!$E$3:$E$4</c:f>
              <c:strCache>
                <c:ptCount val="1"/>
                <c:pt idx="0">
                  <c:v>Above 40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BB04-4114-8341-783DCB4F4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BB04-4114-8341-783DCB4F4D47}"/>
              </c:ext>
            </c:extLst>
          </c:dPt>
          <c:cat>
            <c:strRef>
              <c:f>Sheet4!$A$5:$A$7</c:f>
              <c:strCache>
                <c:ptCount val="2"/>
                <c:pt idx="0">
                  <c:v>Female</c:v>
                </c:pt>
                <c:pt idx="1">
                  <c:v>Male</c:v>
                </c:pt>
              </c:strCache>
            </c:strRef>
          </c:cat>
          <c:val>
            <c:numRef>
              <c:f>Sheet4!$E$5:$E$7</c:f>
              <c:numCache>
                <c:formatCode>0</c:formatCode>
                <c:ptCount val="2"/>
                <c:pt idx="0">
                  <c:v>823</c:v>
                </c:pt>
              </c:numCache>
            </c:numRef>
          </c:val>
          <c:extLst>
            <c:ext xmlns:c16="http://schemas.microsoft.com/office/drawing/2014/chart" uri="{C3380CC4-5D6E-409C-BE32-E72D297353CC}">
              <c16:uniqueId val="{0000002F-5DB8-4B8A-BE37-B38C4BC2A0C1}"/>
            </c:ext>
          </c:extLst>
        </c:ser>
        <c:ser>
          <c:idx val="4"/>
          <c:order val="4"/>
          <c:tx>
            <c:strRef>
              <c:f>Sheet4!$F$3:$F$4</c:f>
              <c:strCache>
                <c:ptCount val="1"/>
                <c:pt idx="0">
                  <c:v>Above 50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BB04-4114-8341-783DCB4F4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BB04-4114-8341-783DCB4F4D47}"/>
              </c:ext>
            </c:extLst>
          </c:dPt>
          <c:cat>
            <c:strRef>
              <c:f>Sheet4!$A$5:$A$7</c:f>
              <c:strCache>
                <c:ptCount val="2"/>
                <c:pt idx="0">
                  <c:v>Female</c:v>
                </c:pt>
                <c:pt idx="1">
                  <c:v>Male</c:v>
                </c:pt>
              </c:strCache>
            </c:strRef>
          </c:cat>
          <c:val>
            <c:numRef>
              <c:f>Sheet4!$F$5:$F$7</c:f>
              <c:numCache>
                <c:formatCode>0</c:formatCode>
                <c:ptCount val="2"/>
                <c:pt idx="0">
                  <c:v>472</c:v>
                </c:pt>
                <c:pt idx="1">
                  <c:v>1181</c:v>
                </c:pt>
              </c:numCache>
            </c:numRef>
          </c:val>
          <c:extLst>
            <c:ext xmlns:c16="http://schemas.microsoft.com/office/drawing/2014/chart" uri="{C3380CC4-5D6E-409C-BE32-E72D297353CC}">
              <c16:uniqueId val="{00000030-5DB8-4B8A-BE37-B38C4BC2A0C1}"/>
            </c:ext>
          </c:extLst>
        </c:ser>
        <c:ser>
          <c:idx val="5"/>
          <c:order val="5"/>
          <c:tx>
            <c:strRef>
              <c:f>Sheet4!$G$3:$G$4</c:f>
              <c:strCache>
                <c:ptCount val="1"/>
                <c:pt idx="0">
                  <c:v>Below10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BB04-4114-8341-783DCB4F4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BB04-4114-8341-783DCB4F4D47}"/>
              </c:ext>
            </c:extLst>
          </c:dPt>
          <c:cat>
            <c:strRef>
              <c:f>Sheet4!$A$5:$A$7</c:f>
              <c:strCache>
                <c:ptCount val="2"/>
                <c:pt idx="0">
                  <c:v>Female</c:v>
                </c:pt>
                <c:pt idx="1">
                  <c:v>Male</c:v>
                </c:pt>
              </c:strCache>
            </c:strRef>
          </c:cat>
          <c:val>
            <c:numRef>
              <c:f>Sheet4!$G$5:$G$7</c:f>
              <c:numCache>
                <c:formatCode>0</c:formatCode>
                <c:ptCount val="2"/>
                <c:pt idx="0">
                  <c:v>576</c:v>
                </c:pt>
              </c:numCache>
            </c:numRef>
          </c:val>
          <c:extLst>
            <c:ext xmlns:c16="http://schemas.microsoft.com/office/drawing/2014/chart" uri="{C3380CC4-5D6E-409C-BE32-E72D297353CC}">
              <c16:uniqueId val="{00000031-5DB8-4B8A-BE37-B38C4BC2A0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[Slice.xlsx]Sheet2!PivotTable1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Above 10</c:v>
                </c:pt>
              </c:strCache>
            </c:strRef>
          </c:tx>
          <c:spPr>
            <a:solidFill>
              <a:schemeClr val="accent1"/>
            </a:solidFill>
            <a:ln>
              <a:noFill/>
            </a:ln>
            <a:effectLst/>
          </c:spPr>
          <c:invertIfNegative val="0"/>
          <c:cat>
            <c:strRef>
              <c:f>Sheet2!$A$3:$A$5</c:f>
              <c:strCache>
                <c:ptCount val="2"/>
                <c:pt idx="0">
                  <c:v>Female</c:v>
                </c:pt>
                <c:pt idx="1">
                  <c:v>Male</c:v>
                </c:pt>
              </c:strCache>
            </c:strRef>
          </c:cat>
          <c:val>
            <c:numRef>
              <c:f>Sheet2!$B$3:$B$5</c:f>
              <c:numCache>
                <c:formatCode>0</c:formatCode>
                <c:ptCount val="2"/>
                <c:pt idx="0">
                  <c:v>729</c:v>
                </c:pt>
                <c:pt idx="1">
                  <c:v>368</c:v>
                </c:pt>
              </c:numCache>
            </c:numRef>
          </c:val>
          <c:extLst>
            <c:ext xmlns:c16="http://schemas.microsoft.com/office/drawing/2014/chart" uri="{C3380CC4-5D6E-409C-BE32-E72D297353CC}">
              <c16:uniqueId val="{00000000-10AF-454D-A3C8-E59E7E9CFF40}"/>
            </c:ext>
          </c:extLst>
        </c:ser>
        <c:ser>
          <c:idx val="1"/>
          <c:order val="1"/>
          <c:tx>
            <c:strRef>
              <c:f>Sheet2!$C$1:$C$2</c:f>
              <c:strCache>
                <c:ptCount val="1"/>
                <c:pt idx="0">
                  <c:v>Above 20</c:v>
                </c:pt>
              </c:strCache>
            </c:strRef>
          </c:tx>
          <c:spPr>
            <a:solidFill>
              <a:schemeClr val="accent2"/>
            </a:solidFill>
            <a:ln>
              <a:noFill/>
            </a:ln>
            <a:effectLst/>
          </c:spPr>
          <c:invertIfNegative val="0"/>
          <c:cat>
            <c:strRef>
              <c:f>Sheet2!$A$3:$A$5</c:f>
              <c:strCache>
                <c:ptCount val="2"/>
                <c:pt idx="0">
                  <c:v>Female</c:v>
                </c:pt>
                <c:pt idx="1">
                  <c:v>Male</c:v>
                </c:pt>
              </c:strCache>
            </c:strRef>
          </c:cat>
          <c:val>
            <c:numRef>
              <c:f>Sheet2!$C$3:$C$5</c:f>
              <c:numCache>
                <c:formatCode>0</c:formatCode>
                <c:ptCount val="2"/>
                <c:pt idx="0">
                  <c:v>3294</c:v>
                </c:pt>
                <c:pt idx="1">
                  <c:v>1394</c:v>
                </c:pt>
              </c:numCache>
            </c:numRef>
          </c:val>
          <c:extLst>
            <c:ext xmlns:c16="http://schemas.microsoft.com/office/drawing/2014/chart" uri="{C3380CC4-5D6E-409C-BE32-E72D297353CC}">
              <c16:uniqueId val="{00000011-10AF-454D-A3C8-E59E7E9CFF40}"/>
            </c:ext>
          </c:extLst>
        </c:ser>
        <c:ser>
          <c:idx val="2"/>
          <c:order val="2"/>
          <c:tx>
            <c:strRef>
              <c:f>Sheet2!$D$1:$D$2</c:f>
              <c:strCache>
                <c:ptCount val="1"/>
                <c:pt idx="0">
                  <c:v>Above 30</c:v>
                </c:pt>
              </c:strCache>
            </c:strRef>
          </c:tx>
          <c:spPr>
            <a:solidFill>
              <a:schemeClr val="accent3"/>
            </a:solidFill>
            <a:ln>
              <a:noFill/>
            </a:ln>
            <a:effectLst/>
          </c:spPr>
          <c:invertIfNegative val="0"/>
          <c:cat>
            <c:strRef>
              <c:f>Sheet2!$A$3:$A$5</c:f>
              <c:strCache>
                <c:ptCount val="2"/>
                <c:pt idx="0">
                  <c:v>Female</c:v>
                </c:pt>
                <c:pt idx="1">
                  <c:v>Male</c:v>
                </c:pt>
              </c:strCache>
            </c:strRef>
          </c:cat>
          <c:val>
            <c:numRef>
              <c:f>Sheet2!$D$3:$D$5</c:f>
              <c:numCache>
                <c:formatCode>0</c:formatCode>
                <c:ptCount val="2"/>
                <c:pt idx="1">
                  <c:v>969</c:v>
                </c:pt>
              </c:numCache>
            </c:numRef>
          </c:val>
          <c:extLst>
            <c:ext xmlns:c16="http://schemas.microsoft.com/office/drawing/2014/chart" uri="{C3380CC4-5D6E-409C-BE32-E72D297353CC}">
              <c16:uniqueId val="{00000012-10AF-454D-A3C8-E59E7E9CFF40}"/>
            </c:ext>
          </c:extLst>
        </c:ser>
        <c:ser>
          <c:idx val="3"/>
          <c:order val="3"/>
          <c:tx>
            <c:strRef>
              <c:f>Sheet2!$E$1:$E$2</c:f>
              <c:strCache>
                <c:ptCount val="1"/>
                <c:pt idx="0">
                  <c:v>Above 40</c:v>
                </c:pt>
              </c:strCache>
            </c:strRef>
          </c:tx>
          <c:spPr>
            <a:solidFill>
              <a:schemeClr val="accent4"/>
            </a:solidFill>
            <a:ln>
              <a:noFill/>
            </a:ln>
            <a:effectLst/>
          </c:spPr>
          <c:invertIfNegative val="0"/>
          <c:cat>
            <c:strRef>
              <c:f>Sheet2!$A$3:$A$5</c:f>
              <c:strCache>
                <c:ptCount val="2"/>
                <c:pt idx="0">
                  <c:v>Female</c:v>
                </c:pt>
                <c:pt idx="1">
                  <c:v>Male</c:v>
                </c:pt>
              </c:strCache>
            </c:strRef>
          </c:cat>
          <c:val>
            <c:numRef>
              <c:f>Sheet2!$E$3:$E$5</c:f>
              <c:numCache>
                <c:formatCode>0</c:formatCode>
                <c:ptCount val="2"/>
                <c:pt idx="0">
                  <c:v>823</c:v>
                </c:pt>
              </c:numCache>
            </c:numRef>
          </c:val>
          <c:extLst>
            <c:ext xmlns:c16="http://schemas.microsoft.com/office/drawing/2014/chart" uri="{C3380CC4-5D6E-409C-BE32-E72D297353CC}">
              <c16:uniqueId val="{00000013-10AF-454D-A3C8-E59E7E9CFF40}"/>
            </c:ext>
          </c:extLst>
        </c:ser>
        <c:ser>
          <c:idx val="4"/>
          <c:order val="4"/>
          <c:tx>
            <c:strRef>
              <c:f>Sheet2!$F$1:$F$2</c:f>
              <c:strCache>
                <c:ptCount val="1"/>
                <c:pt idx="0">
                  <c:v>Above 50</c:v>
                </c:pt>
              </c:strCache>
            </c:strRef>
          </c:tx>
          <c:spPr>
            <a:solidFill>
              <a:schemeClr val="accent5"/>
            </a:solidFill>
            <a:ln>
              <a:noFill/>
            </a:ln>
            <a:effectLst/>
          </c:spPr>
          <c:invertIfNegative val="0"/>
          <c:cat>
            <c:strRef>
              <c:f>Sheet2!$A$3:$A$5</c:f>
              <c:strCache>
                <c:ptCount val="2"/>
                <c:pt idx="0">
                  <c:v>Female</c:v>
                </c:pt>
                <c:pt idx="1">
                  <c:v>Male</c:v>
                </c:pt>
              </c:strCache>
            </c:strRef>
          </c:cat>
          <c:val>
            <c:numRef>
              <c:f>Sheet2!$F$3:$F$5</c:f>
              <c:numCache>
                <c:formatCode>0</c:formatCode>
                <c:ptCount val="2"/>
                <c:pt idx="0">
                  <c:v>472</c:v>
                </c:pt>
                <c:pt idx="1">
                  <c:v>1181</c:v>
                </c:pt>
              </c:numCache>
            </c:numRef>
          </c:val>
          <c:extLst>
            <c:ext xmlns:c16="http://schemas.microsoft.com/office/drawing/2014/chart" uri="{C3380CC4-5D6E-409C-BE32-E72D297353CC}">
              <c16:uniqueId val="{00000014-10AF-454D-A3C8-E59E7E9CFF40}"/>
            </c:ext>
          </c:extLst>
        </c:ser>
        <c:ser>
          <c:idx val="5"/>
          <c:order val="5"/>
          <c:tx>
            <c:strRef>
              <c:f>Sheet2!$G$1:$G$2</c:f>
              <c:strCache>
                <c:ptCount val="1"/>
                <c:pt idx="0">
                  <c:v>Below10</c:v>
                </c:pt>
              </c:strCache>
            </c:strRef>
          </c:tx>
          <c:spPr>
            <a:solidFill>
              <a:schemeClr val="accent6"/>
            </a:solidFill>
            <a:ln>
              <a:noFill/>
            </a:ln>
            <a:effectLst/>
          </c:spPr>
          <c:invertIfNegative val="0"/>
          <c:cat>
            <c:strRef>
              <c:f>Sheet2!$A$3:$A$5</c:f>
              <c:strCache>
                <c:ptCount val="2"/>
                <c:pt idx="0">
                  <c:v>Female</c:v>
                </c:pt>
                <c:pt idx="1">
                  <c:v>Male</c:v>
                </c:pt>
              </c:strCache>
            </c:strRef>
          </c:cat>
          <c:val>
            <c:numRef>
              <c:f>Sheet2!$G$3:$G$5</c:f>
              <c:numCache>
                <c:formatCode>0</c:formatCode>
                <c:ptCount val="2"/>
                <c:pt idx="0">
                  <c:v>576</c:v>
                </c:pt>
              </c:numCache>
            </c:numRef>
          </c:val>
          <c:extLst>
            <c:ext xmlns:c16="http://schemas.microsoft.com/office/drawing/2014/chart" uri="{C3380CC4-5D6E-409C-BE32-E72D297353CC}">
              <c16:uniqueId val="{00000015-10AF-454D-A3C8-E59E7E9CFF40}"/>
            </c:ext>
          </c:extLst>
        </c:ser>
        <c:dLbls>
          <c:showLegendKey val="0"/>
          <c:showVal val="0"/>
          <c:showCatName val="0"/>
          <c:showSerName val="0"/>
          <c:showPercent val="0"/>
          <c:showBubbleSize val="0"/>
        </c:dLbls>
        <c:gapWidth val="219"/>
        <c:overlap val="-27"/>
        <c:axId val="1619701791"/>
        <c:axId val="1619700831"/>
      </c:barChart>
      <c:catAx>
        <c:axId val="161970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00831"/>
        <c:crosses val="autoZero"/>
        <c:auto val="1"/>
        <c:lblAlgn val="ctr"/>
        <c:lblOffset val="100"/>
        <c:noMultiLvlLbl val="0"/>
      </c:catAx>
      <c:valAx>
        <c:axId val="1619700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0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[Slice.xlsx]Sheet2!PivotTable1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Sheet2!$B$1:$B$2</c:f>
              <c:strCache>
                <c:ptCount val="1"/>
                <c:pt idx="0">
                  <c:v>Above 10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14-42EF-B938-F42B6D4BC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14-42EF-B938-F42B6D4BCA52}"/>
              </c:ext>
            </c:extLst>
          </c:dPt>
          <c:cat>
            <c:strRef>
              <c:f>Sheet2!$A$3:$A$5</c:f>
              <c:strCache>
                <c:ptCount val="2"/>
                <c:pt idx="0">
                  <c:v>Female</c:v>
                </c:pt>
                <c:pt idx="1">
                  <c:v>Male</c:v>
                </c:pt>
              </c:strCache>
            </c:strRef>
          </c:cat>
          <c:val>
            <c:numRef>
              <c:f>Sheet2!$B$3:$B$5</c:f>
              <c:numCache>
                <c:formatCode>0</c:formatCode>
                <c:ptCount val="2"/>
                <c:pt idx="0">
                  <c:v>729</c:v>
                </c:pt>
                <c:pt idx="1">
                  <c:v>368</c:v>
                </c:pt>
              </c:numCache>
            </c:numRef>
          </c:val>
          <c:extLst>
            <c:ext xmlns:c16="http://schemas.microsoft.com/office/drawing/2014/chart" uri="{C3380CC4-5D6E-409C-BE32-E72D297353CC}">
              <c16:uniqueId val="{00000000-A464-44FD-AEF9-CF0D5A8EEBE8}"/>
            </c:ext>
          </c:extLst>
        </c:ser>
        <c:ser>
          <c:idx val="1"/>
          <c:order val="1"/>
          <c:tx>
            <c:strRef>
              <c:f>Sheet2!$C$1:$C$2</c:f>
              <c:strCache>
                <c:ptCount val="1"/>
                <c:pt idx="0">
                  <c:v>Above 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414-42EF-B938-F42B6D4BC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414-42EF-B938-F42B6D4BCA52}"/>
              </c:ext>
            </c:extLst>
          </c:dPt>
          <c:cat>
            <c:strRef>
              <c:f>Sheet2!$A$3:$A$5</c:f>
              <c:strCache>
                <c:ptCount val="2"/>
                <c:pt idx="0">
                  <c:v>Female</c:v>
                </c:pt>
                <c:pt idx="1">
                  <c:v>Male</c:v>
                </c:pt>
              </c:strCache>
            </c:strRef>
          </c:cat>
          <c:val>
            <c:numRef>
              <c:f>Sheet2!$C$3:$C$5</c:f>
              <c:numCache>
                <c:formatCode>0</c:formatCode>
                <c:ptCount val="2"/>
                <c:pt idx="0">
                  <c:v>3294</c:v>
                </c:pt>
                <c:pt idx="1">
                  <c:v>1394</c:v>
                </c:pt>
              </c:numCache>
            </c:numRef>
          </c:val>
          <c:extLst>
            <c:ext xmlns:c16="http://schemas.microsoft.com/office/drawing/2014/chart" uri="{C3380CC4-5D6E-409C-BE32-E72D297353CC}">
              <c16:uniqueId val="{00000011-A464-44FD-AEF9-CF0D5A8EEBE8}"/>
            </c:ext>
          </c:extLst>
        </c:ser>
        <c:ser>
          <c:idx val="2"/>
          <c:order val="2"/>
          <c:tx>
            <c:strRef>
              <c:f>Sheet2!$D$1:$D$2</c:f>
              <c:strCache>
                <c:ptCount val="1"/>
                <c:pt idx="0">
                  <c:v>Above 30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414-42EF-B938-F42B6D4BC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414-42EF-B938-F42B6D4BCA52}"/>
              </c:ext>
            </c:extLst>
          </c:dPt>
          <c:cat>
            <c:strRef>
              <c:f>Sheet2!$A$3:$A$5</c:f>
              <c:strCache>
                <c:ptCount val="2"/>
                <c:pt idx="0">
                  <c:v>Female</c:v>
                </c:pt>
                <c:pt idx="1">
                  <c:v>Male</c:v>
                </c:pt>
              </c:strCache>
            </c:strRef>
          </c:cat>
          <c:val>
            <c:numRef>
              <c:f>Sheet2!$D$3:$D$5</c:f>
              <c:numCache>
                <c:formatCode>0</c:formatCode>
                <c:ptCount val="2"/>
                <c:pt idx="1">
                  <c:v>969</c:v>
                </c:pt>
              </c:numCache>
            </c:numRef>
          </c:val>
          <c:extLst>
            <c:ext xmlns:c16="http://schemas.microsoft.com/office/drawing/2014/chart" uri="{C3380CC4-5D6E-409C-BE32-E72D297353CC}">
              <c16:uniqueId val="{00000012-A464-44FD-AEF9-CF0D5A8EEBE8}"/>
            </c:ext>
          </c:extLst>
        </c:ser>
        <c:ser>
          <c:idx val="3"/>
          <c:order val="3"/>
          <c:tx>
            <c:strRef>
              <c:f>Sheet2!$E$1:$E$2</c:f>
              <c:strCache>
                <c:ptCount val="1"/>
                <c:pt idx="0">
                  <c:v>Above 40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2414-42EF-B938-F42B6D4BC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2414-42EF-B938-F42B6D4BCA52}"/>
              </c:ext>
            </c:extLst>
          </c:dPt>
          <c:cat>
            <c:strRef>
              <c:f>Sheet2!$A$3:$A$5</c:f>
              <c:strCache>
                <c:ptCount val="2"/>
                <c:pt idx="0">
                  <c:v>Female</c:v>
                </c:pt>
                <c:pt idx="1">
                  <c:v>Male</c:v>
                </c:pt>
              </c:strCache>
            </c:strRef>
          </c:cat>
          <c:val>
            <c:numRef>
              <c:f>Sheet2!$E$3:$E$5</c:f>
              <c:numCache>
                <c:formatCode>0</c:formatCode>
                <c:ptCount val="2"/>
                <c:pt idx="0">
                  <c:v>823</c:v>
                </c:pt>
              </c:numCache>
            </c:numRef>
          </c:val>
          <c:extLst>
            <c:ext xmlns:c16="http://schemas.microsoft.com/office/drawing/2014/chart" uri="{C3380CC4-5D6E-409C-BE32-E72D297353CC}">
              <c16:uniqueId val="{00000013-A464-44FD-AEF9-CF0D5A8EEBE8}"/>
            </c:ext>
          </c:extLst>
        </c:ser>
        <c:ser>
          <c:idx val="4"/>
          <c:order val="4"/>
          <c:tx>
            <c:strRef>
              <c:f>Sheet2!$F$1:$F$2</c:f>
              <c:strCache>
                <c:ptCount val="1"/>
                <c:pt idx="0">
                  <c:v>Above 50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2414-42EF-B938-F42B6D4BC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2414-42EF-B938-F42B6D4BCA52}"/>
              </c:ext>
            </c:extLst>
          </c:dPt>
          <c:cat>
            <c:strRef>
              <c:f>Sheet2!$A$3:$A$5</c:f>
              <c:strCache>
                <c:ptCount val="2"/>
                <c:pt idx="0">
                  <c:v>Female</c:v>
                </c:pt>
                <c:pt idx="1">
                  <c:v>Male</c:v>
                </c:pt>
              </c:strCache>
            </c:strRef>
          </c:cat>
          <c:val>
            <c:numRef>
              <c:f>Sheet2!$F$3:$F$5</c:f>
              <c:numCache>
                <c:formatCode>0</c:formatCode>
                <c:ptCount val="2"/>
                <c:pt idx="0">
                  <c:v>472</c:v>
                </c:pt>
                <c:pt idx="1">
                  <c:v>1181</c:v>
                </c:pt>
              </c:numCache>
            </c:numRef>
          </c:val>
          <c:extLst>
            <c:ext xmlns:c16="http://schemas.microsoft.com/office/drawing/2014/chart" uri="{C3380CC4-5D6E-409C-BE32-E72D297353CC}">
              <c16:uniqueId val="{00000014-A464-44FD-AEF9-CF0D5A8EEBE8}"/>
            </c:ext>
          </c:extLst>
        </c:ser>
        <c:ser>
          <c:idx val="5"/>
          <c:order val="5"/>
          <c:tx>
            <c:strRef>
              <c:f>Sheet2!$G$1:$G$2</c:f>
              <c:strCache>
                <c:ptCount val="1"/>
                <c:pt idx="0">
                  <c:v>Below10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2414-42EF-B938-F42B6D4BC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2414-42EF-B938-F42B6D4BCA52}"/>
              </c:ext>
            </c:extLst>
          </c:dPt>
          <c:cat>
            <c:strRef>
              <c:f>Sheet2!$A$3:$A$5</c:f>
              <c:strCache>
                <c:ptCount val="2"/>
                <c:pt idx="0">
                  <c:v>Female</c:v>
                </c:pt>
                <c:pt idx="1">
                  <c:v>Male</c:v>
                </c:pt>
              </c:strCache>
            </c:strRef>
          </c:cat>
          <c:val>
            <c:numRef>
              <c:f>Sheet2!$G$3:$G$5</c:f>
              <c:numCache>
                <c:formatCode>0</c:formatCode>
                <c:ptCount val="2"/>
                <c:pt idx="0">
                  <c:v>576</c:v>
                </c:pt>
              </c:numCache>
            </c:numRef>
          </c:val>
          <c:extLst>
            <c:ext xmlns:c16="http://schemas.microsoft.com/office/drawing/2014/chart" uri="{C3380CC4-5D6E-409C-BE32-E72D297353CC}">
              <c16:uniqueId val="{00000015-A464-44FD-AEF9-CF0D5A8EEB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[Slice.xlsx]Sheet3!PivotTable2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France</c:v>
                </c:pt>
                <c:pt idx="1">
                  <c:v>Germany</c:v>
                </c:pt>
                <c:pt idx="2">
                  <c:v>India</c:v>
                </c:pt>
                <c:pt idx="3">
                  <c:v>Spain</c:v>
                </c:pt>
              </c:strCache>
            </c:strRef>
          </c:cat>
          <c:val>
            <c:numRef>
              <c:f>Sheet3!$B$4:$B$8</c:f>
              <c:numCache>
                <c:formatCode>0</c:formatCode>
                <c:ptCount val="4"/>
                <c:pt idx="0">
                  <c:v>2653</c:v>
                </c:pt>
                <c:pt idx="1">
                  <c:v>2715</c:v>
                </c:pt>
                <c:pt idx="2">
                  <c:v>2196</c:v>
                </c:pt>
                <c:pt idx="3">
                  <c:v>2242</c:v>
                </c:pt>
              </c:numCache>
            </c:numRef>
          </c:val>
          <c:extLst>
            <c:ext xmlns:c16="http://schemas.microsoft.com/office/drawing/2014/chart" uri="{C3380CC4-5D6E-409C-BE32-E72D297353CC}">
              <c16:uniqueId val="{00000000-BEF1-4569-8F46-2EB86C2FEA42}"/>
            </c:ext>
          </c:extLst>
        </c:ser>
        <c:dLbls>
          <c:showLegendKey val="0"/>
          <c:showVal val="0"/>
          <c:showCatName val="0"/>
          <c:showSerName val="0"/>
          <c:showPercent val="0"/>
          <c:showBubbleSize val="0"/>
        </c:dLbls>
        <c:gapWidth val="219"/>
        <c:overlap val="-27"/>
        <c:axId val="1631788815"/>
        <c:axId val="1631784975"/>
      </c:barChart>
      <c:catAx>
        <c:axId val="163178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84975"/>
        <c:crosses val="autoZero"/>
        <c:auto val="1"/>
        <c:lblAlgn val="ctr"/>
        <c:lblOffset val="100"/>
        <c:noMultiLvlLbl val="0"/>
      </c:catAx>
      <c:valAx>
        <c:axId val="1631784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8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581025</xdr:colOff>
      <xdr:row>16</xdr:row>
      <xdr:rowOff>176212</xdr:rowOff>
    </xdr:from>
    <xdr:to>
      <xdr:col>15</xdr:col>
      <xdr:colOff>9525</xdr:colOff>
      <xdr:row>26</xdr:row>
      <xdr:rowOff>152400</xdr:rowOff>
    </xdr:to>
    <xdr:graphicFrame macro="">
      <xdr:nvGraphicFramePr>
        <xdr:cNvPr id="2" name="Chart 1">
          <a:extLst>
            <a:ext uri="{FF2B5EF4-FFF2-40B4-BE49-F238E27FC236}">
              <a16:creationId xmlns:a16="http://schemas.microsoft.com/office/drawing/2014/main" id="{BAF1C4D7-2610-A25B-1ED2-7D874813A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495300</xdr:colOff>
      <xdr:row>10</xdr:row>
      <xdr:rowOff>180975</xdr:rowOff>
    </xdr:from>
    <xdr:to>
      <xdr:col>5</xdr:col>
      <xdr:colOff>495300</xdr:colOff>
      <xdr:row>21</xdr:row>
      <xdr:rowOff>133350</xdr:rowOff>
    </xdr:to>
    <mc:AlternateContent xmlns:mc="http://schemas.openxmlformats.org/markup-compatibility/2006" xmlns:a14="http://schemas.microsoft.com/office/drawing/2010/main">
      <mc:Choice Requires="a14">
        <xdr:graphicFrame macro="">
          <xdr:nvGraphicFramePr>
            <xdr:cNvPr id="4" name="Age criteria">
              <a:extLst>
                <a:ext uri="{FF2B5EF4-FFF2-40B4-BE49-F238E27FC236}">
                  <a16:creationId xmlns:a16="http://schemas.microsoft.com/office/drawing/2014/main" id="{F2DA0AAC-4BB5-ECF0-BE7E-03C38DD75E43}"/>
                </a:ext>
              </a:extLst>
            </xdr:cNvPr>
            <xdr:cNvGraphicFramePr/>
          </xdr:nvGraphicFramePr>
          <xdr:xfrm>
            <a:off x="0" y="0"/>
            <a:ext cx="0" cy="0"/>
          </xdr:xfrm>
          <a:graphic>
            <a:graphicData uri="http://schemas.microsoft.com/office/drawing/2010/slicer">
              <sle:slicer xmlns:sle="http://schemas.microsoft.com/office/drawing/2010/slicer" name="Age criteria"/>
            </a:graphicData>
          </a:graphic>
        </xdr:graphicFrame>
      </mc:Choice>
      <mc:Fallback xmlns="">
        <xdr:sp macro="" textlink="">
          <xdr:nvSpPr>
            <xdr:cNvPr id="0" name=""/>
            <xdr:cNvSpPr>
              <a:spLocks noTextEdit="1"/>
            </xdr:cNvSpPr>
          </xdr:nvSpPr>
          <xdr:spPr>
            <a:xfrm>
              <a:off x="2495550" y="2085975"/>
              <a:ext cx="1828800"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600075</xdr:colOff>
      <xdr:row>2</xdr:row>
      <xdr:rowOff>80962</xdr:rowOff>
    </xdr:from>
    <xdr:to>
      <xdr:col>15</xdr:col>
      <xdr:colOff>76200</xdr:colOff>
      <xdr:row>13</xdr:row>
      <xdr:rowOff>47625</xdr:rowOff>
    </xdr:to>
    <xdr:graphicFrame macro="">
      <xdr:nvGraphicFramePr>
        <xdr:cNvPr id="3" name="Chart 2">
          <a:extLst>
            <a:ext uri="{FF2B5EF4-FFF2-40B4-BE49-F238E27FC236}">
              <a16:creationId xmlns:a16="http://schemas.microsoft.com/office/drawing/2014/main" id="{BAD4BCD7-1022-89E5-0703-DB05CA846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104775</xdr:colOff>
      <xdr:row>11</xdr:row>
      <xdr:rowOff>0</xdr:rowOff>
    </xdr:from>
    <xdr:to>
      <xdr:col>1</xdr:col>
      <xdr:colOff>1019175</xdr:colOff>
      <xdr:row>18</xdr:row>
      <xdr:rowOff>142875</xdr:rowOff>
    </xdr:to>
    <mc:AlternateContent xmlns:mc="http://schemas.openxmlformats.org/markup-compatibility/2006" xmlns:a14="http://schemas.microsoft.com/office/drawing/2010/main">
      <mc:Choice Requires="a14">
        <xdr:graphicFrame macro="">
          <xdr:nvGraphicFramePr>
            <xdr:cNvPr id="5" name="Geography">
              <a:extLst>
                <a:ext uri="{FF2B5EF4-FFF2-40B4-BE49-F238E27FC236}">
                  <a16:creationId xmlns:a16="http://schemas.microsoft.com/office/drawing/2014/main" id="{3C46825D-0665-614C-463C-C4ED41C9D0D4}"/>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04775" y="2095500"/>
              <a:ext cx="182880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495300</xdr:colOff>
      <xdr:row>23</xdr:row>
      <xdr:rowOff>28575</xdr:rowOff>
    </xdr:from>
    <xdr:to>
      <xdr:col>5</xdr:col>
      <xdr:colOff>495300</xdr:colOff>
      <xdr:row>36</xdr:row>
      <xdr:rowOff>76200</xdr:rowOff>
    </xdr:to>
    <mc:AlternateContent xmlns:mc="http://schemas.openxmlformats.org/markup-compatibility/2006" xmlns:a14="http://schemas.microsoft.com/office/drawing/2010/main">
      <mc:Choice Requires="a14">
        <xdr:graphicFrame macro="">
          <xdr:nvGraphicFramePr>
            <xdr:cNvPr id="6" name="credits">
              <a:extLst>
                <a:ext uri="{FF2B5EF4-FFF2-40B4-BE49-F238E27FC236}">
                  <a16:creationId xmlns:a16="http://schemas.microsoft.com/office/drawing/2014/main" id="{F60A9B26-6D02-3FCE-2AF4-C4FBDF5D8D07}"/>
                </a:ext>
              </a:extLst>
            </xdr:cNvPr>
            <xdr:cNvGraphicFramePr/>
          </xdr:nvGraphicFramePr>
          <xdr:xfrm>
            <a:off x="0" y="0"/>
            <a:ext cx="0" cy="0"/>
          </xdr:xfrm>
          <a:graphic>
            <a:graphicData uri="http://schemas.microsoft.com/office/drawing/2010/slicer">
              <sle:slicer xmlns:sle="http://schemas.microsoft.com/office/drawing/2010/slicer" name="credits"/>
            </a:graphicData>
          </a:graphic>
        </xdr:graphicFrame>
      </mc:Choice>
      <mc:Fallback xmlns="">
        <xdr:sp macro="" textlink="">
          <xdr:nvSpPr>
            <xdr:cNvPr id="0" name=""/>
            <xdr:cNvSpPr>
              <a:spLocks noTextEdit="1"/>
            </xdr:cNvSpPr>
          </xdr:nvSpPr>
          <xdr:spPr>
            <a:xfrm>
              <a:off x="2495550" y="4410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23</xdr:row>
      <xdr:rowOff>47626</xdr:rowOff>
    </xdr:from>
    <xdr:to>
      <xdr:col>1</xdr:col>
      <xdr:colOff>1066800</xdr:colOff>
      <xdr:row>28</xdr:row>
      <xdr:rowOff>66675</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BDED939D-C834-299A-D949-3DEA1514988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2400" y="4429126"/>
              <a:ext cx="1828800" cy="97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219075</xdr:colOff>
      <xdr:row>11</xdr:row>
      <xdr:rowOff>128587</xdr:rowOff>
    </xdr:from>
    <xdr:to>
      <xdr:col>21</xdr:col>
      <xdr:colOff>166687</xdr:colOff>
      <xdr:row>22</xdr:row>
      <xdr:rowOff>9525</xdr:rowOff>
    </xdr:to>
    <xdr:graphicFrame macro="">
      <xdr:nvGraphicFramePr>
        <xdr:cNvPr id="8" name="Chart 7">
          <a:extLst>
            <a:ext uri="{FF2B5EF4-FFF2-40B4-BE49-F238E27FC236}">
              <a16:creationId xmlns:a16="http://schemas.microsoft.com/office/drawing/2014/main" id="{6E57AFCC-9E76-802E-EADF-BE0C53300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257175</xdr:colOff>
      <xdr:row>11</xdr:row>
      <xdr:rowOff>147637</xdr:rowOff>
    </xdr:from>
    <xdr:to>
      <xdr:col>16</xdr:col>
      <xdr:colOff>561975</xdr:colOff>
      <xdr:row>26</xdr:row>
      <xdr:rowOff>33337</xdr:rowOff>
    </xdr:to>
    <xdr:graphicFrame macro="">
      <xdr:nvGraphicFramePr>
        <xdr:cNvPr id="2" name="Chart 1">
          <a:extLst>
            <a:ext uri="{FF2B5EF4-FFF2-40B4-BE49-F238E27FC236}">
              <a16:creationId xmlns:a16="http://schemas.microsoft.com/office/drawing/2014/main" id="{FADEE9A7-C435-EAE0-503E-5531AF5B9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476250</xdr:colOff>
      <xdr:row>11</xdr:row>
      <xdr:rowOff>138112</xdr:rowOff>
    </xdr:from>
    <xdr:to>
      <xdr:col>8</xdr:col>
      <xdr:colOff>200025</xdr:colOff>
      <xdr:row>26</xdr:row>
      <xdr:rowOff>23812</xdr:rowOff>
    </xdr:to>
    <xdr:graphicFrame macro="">
      <xdr:nvGraphicFramePr>
        <xdr:cNvPr id="3" name="Chart 2">
          <a:extLst>
            <a:ext uri="{FF2B5EF4-FFF2-40B4-BE49-F238E27FC236}">
              <a16:creationId xmlns:a16="http://schemas.microsoft.com/office/drawing/2014/main" id="{9DF46B23-07E1-9708-D331-7DEA21246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123825</xdr:colOff>
      <xdr:row>11</xdr:row>
      <xdr:rowOff>147637</xdr:rowOff>
    </xdr:from>
    <xdr:to>
      <xdr:col>14</xdr:col>
      <xdr:colOff>428625</xdr:colOff>
      <xdr:row>26</xdr:row>
      <xdr:rowOff>33337</xdr:rowOff>
    </xdr:to>
    <xdr:graphicFrame macro="">
      <xdr:nvGraphicFramePr>
        <xdr:cNvPr id="2" name="Chart 1">
          <a:extLst>
            <a:ext uri="{FF2B5EF4-FFF2-40B4-BE49-F238E27FC236}">
              <a16:creationId xmlns:a16="http://schemas.microsoft.com/office/drawing/2014/main" id="{5FEADFA3-BE3D-6D8C-C738-B21C38FA6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32500925925" createdVersion="8" refreshedVersion="8" minRefreshableVersion="3" recordCount="17" xr:uid="{090F6502-4826-4BCD-BDB9-73FD43932A41}">
  <cacheSource type="worksheet">
    <worksheetSource ref="A1:I18" sheet="Sheet1"/>
  </cacheSource>
  <cacheFields count="9">
    <cacheField name="Sno" numFmtId="0">
      <sharedItems containsSemiMixedTypes="0" containsString="0" containsNumber="1" containsInteger="1" minValue="1" maxValue="17"/>
    </cacheField>
    <cacheField name="customer" numFmtId="0">
      <sharedItems containsSemiMixedTypes="0" containsString="0" containsNumber="1" containsInteger="1" minValue="100001" maxValue="100017"/>
    </cacheField>
    <cacheField name="name" numFmtId="0">
      <sharedItems count="17">
        <s v="Malhotra"/>
        <s v="Patel"/>
        <s v="Jain"/>
        <s v="Singh"/>
        <s v="Chopra"/>
        <s v="Mehta"/>
        <s v="Yadav"/>
        <s v="Iyer"/>
        <s v="Saxena"/>
        <s v="Joshi"/>
        <s v="Verma"/>
        <s v="Mishra"/>
        <s v="Reddy"/>
        <s v="Bose"/>
        <s v="Gupta"/>
        <s v="Kulkarni"/>
        <s v="Nair"/>
      </sharedItems>
    </cacheField>
    <cacheField name="credits" numFmtId="1">
      <sharedItems containsSemiMixedTypes="0" containsString="0" containsNumber="1" containsInteger="1" minValue="368" maxValue="803" count="17">
        <n v="729"/>
        <n v="744"/>
        <n v="789"/>
        <n v="576"/>
        <n v="591"/>
        <n v="692"/>
        <n v="437"/>
        <n v="416"/>
        <n v="368"/>
        <n v="476"/>
        <n v="574"/>
        <n v="797"/>
        <n v="493"/>
        <n v="803"/>
        <n v="442"/>
        <n v="407"/>
        <n v="472"/>
      </sharedItems>
    </cacheField>
    <cacheField name="Geography" numFmtId="0">
      <sharedItems count="4">
        <s v="France"/>
        <s v="Germany"/>
        <s v="Spain"/>
        <s v="India"/>
      </sharedItems>
    </cacheField>
    <cacheField name="Gender" numFmtId="0">
      <sharedItems count="2">
        <s v="Female"/>
        <s v="Male"/>
      </sharedItems>
    </cacheField>
    <cacheField name="Age" numFmtId="0">
      <sharedItems containsSemiMixedTypes="0" containsString="0" containsNumber="1" containsInteger="1" minValue="0" maxValue="58" count="15">
        <n v="19"/>
        <n v="53"/>
        <n v="30"/>
        <n v="0"/>
        <n v="28"/>
        <n v="29"/>
        <n v="58"/>
        <n v="46"/>
        <n v="18"/>
        <n v="39"/>
        <n v="27"/>
        <n v="34"/>
        <n v="22"/>
        <n v="42"/>
        <n v="51"/>
      </sharedItems>
    </cacheField>
    <cacheField name="Balance" numFmtId="164">
      <sharedItems containsSemiMixedTypes="0" containsString="0" containsNumber="1" containsInteger="1" minValue="-194164" maxValue="260233"/>
    </cacheField>
    <cacheField name="Age criteria" numFmtId="0">
      <sharedItems count="6">
        <s v="Above 10"/>
        <s v="Above 50"/>
        <s v="Above 20"/>
        <s v="Below10"/>
        <s v="Above 40"/>
        <s v="Above 30"/>
      </sharedItems>
    </cacheField>
  </cacheFields>
  <extLst>
    <ext xmlns:x14="http://schemas.microsoft.com/office/spreadsheetml/2009/9/main" uri="{725AE2AE-9491-48be-B2B4-4EB974FC3084}">
      <x14:pivotCacheDefinition pivotCacheId="3150917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81.411673379633" createdVersion="8" refreshedVersion="8" minRefreshableVersion="3" recordCount="17" xr:uid="{56D765BD-7139-4D7A-A232-FF841EAA6040}">
  <cacheSource type="worksheet">
    <worksheetSource ref="A1:I18" sheet="Sheet1"/>
  </cacheSource>
  <cacheFields count="9">
    <cacheField name="Sno" numFmtId="0">
      <sharedItems containsSemiMixedTypes="0" containsString="0" containsNumber="1" containsInteger="1" minValue="1" maxValue="17"/>
    </cacheField>
    <cacheField name="customer" numFmtId="0">
      <sharedItems containsSemiMixedTypes="0" containsString="0" containsNumber="1" containsInteger="1" minValue="100001" maxValue="100017"/>
    </cacheField>
    <cacheField name="name" numFmtId="0">
      <sharedItems/>
    </cacheField>
    <cacheField name="credits" numFmtId="1">
      <sharedItems containsSemiMixedTypes="0" containsString="0" containsNumber="1" containsInteger="1" minValue="368" maxValue="803"/>
    </cacheField>
    <cacheField name="Geography" numFmtId="0">
      <sharedItems count="4">
        <s v="France"/>
        <s v="Germany"/>
        <s v="Spain"/>
        <s v="India"/>
      </sharedItems>
    </cacheField>
    <cacheField name="Gender" numFmtId="0">
      <sharedItems/>
    </cacheField>
    <cacheField name="Age" numFmtId="0">
      <sharedItems containsSemiMixedTypes="0" containsString="0" containsNumber="1" containsInteger="1" minValue="0" maxValue="58"/>
    </cacheField>
    <cacheField name="Balance" numFmtId="164">
      <sharedItems containsSemiMixedTypes="0" containsString="0" containsNumber="1" containsInteger="1" minValue="-194164" maxValue="260233"/>
    </cacheField>
    <cacheField name="Age criteri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n v="100001"/>
    <x v="0"/>
    <x v="0"/>
    <x v="0"/>
    <x v="0"/>
    <x v="0"/>
    <n v="-194164"/>
    <x v="0"/>
  </r>
  <r>
    <n v="2"/>
    <n v="100002"/>
    <x v="1"/>
    <x v="1"/>
    <x v="1"/>
    <x v="1"/>
    <x v="1"/>
    <n v="0"/>
    <x v="1"/>
  </r>
  <r>
    <n v="3"/>
    <n v="100003"/>
    <x v="2"/>
    <x v="2"/>
    <x v="2"/>
    <x v="0"/>
    <x v="2"/>
    <n v="178650"/>
    <x v="2"/>
  </r>
  <r>
    <n v="4"/>
    <n v="100004"/>
    <x v="3"/>
    <x v="3"/>
    <x v="3"/>
    <x v="0"/>
    <x v="3"/>
    <n v="25710"/>
    <x v="3"/>
  </r>
  <r>
    <n v="5"/>
    <n v="100005"/>
    <x v="4"/>
    <x v="4"/>
    <x v="0"/>
    <x v="1"/>
    <x v="4"/>
    <n v="156201"/>
    <x v="2"/>
  </r>
  <r>
    <n v="6"/>
    <n v="100006"/>
    <x v="5"/>
    <x v="5"/>
    <x v="1"/>
    <x v="0"/>
    <x v="5"/>
    <n v="213952"/>
    <x v="2"/>
  </r>
  <r>
    <n v="7"/>
    <n v="100007"/>
    <x v="6"/>
    <x v="6"/>
    <x v="2"/>
    <x v="1"/>
    <x v="6"/>
    <n v="176103"/>
    <x v="1"/>
  </r>
  <r>
    <n v="8"/>
    <n v="100008"/>
    <x v="7"/>
    <x v="7"/>
    <x v="3"/>
    <x v="0"/>
    <x v="7"/>
    <n v="57283"/>
    <x v="4"/>
  </r>
  <r>
    <n v="9"/>
    <n v="100009"/>
    <x v="8"/>
    <x v="8"/>
    <x v="0"/>
    <x v="1"/>
    <x v="8"/>
    <n v="227626"/>
    <x v="0"/>
  </r>
  <r>
    <n v="10"/>
    <n v="100010"/>
    <x v="9"/>
    <x v="9"/>
    <x v="1"/>
    <x v="1"/>
    <x v="9"/>
    <n v="260233"/>
    <x v="5"/>
  </r>
  <r>
    <n v="11"/>
    <n v="100011"/>
    <x v="10"/>
    <x v="10"/>
    <x v="2"/>
    <x v="0"/>
    <x v="2"/>
    <n v="168272"/>
    <x v="2"/>
  </r>
  <r>
    <n v="12"/>
    <n v="100012"/>
    <x v="11"/>
    <x v="11"/>
    <x v="3"/>
    <x v="0"/>
    <x v="10"/>
    <n v="68503"/>
    <x v="2"/>
  </r>
  <r>
    <n v="13"/>
    <n v="100013"/>
    <x v="12"/>
    <x v="12"/>
    <x v="0"/>
    <x v="1"/>
    <x v="11"/>
    <n v="22604"/>
    <x v="5"/>
  </r>
  <r>
    <n v="14"/>
    <n v="100014"/>
    <x v="13"/>
    <x v="13"/>
    <x v="1"/>
    <x v="1"/>
    <x v="4"/>
    <n v="164365"/>
    <x v="2"/>
  </r>
  <r>
    <n v="15"/>
    <n v="100015"/>
    <x v="14"/>
    <x v="14"/>
    <x v="2"/>
    <x v="0"/>
    <x v="12"/>
    <n v="180396"/>
    <x v="2"/>
  </r>
  <r>
    <n v="16"/>
    <n v="100016"/>
    <x v="15"/>
    <x v="15"/>
    <x v="3"/>
    <x v="0"/>
    <x v="13"/>
    <n v="13669"/>
    <x v="4"/>
  </r>
  <r>
    <n v="17"/>
    <n v="100017"/>
    <x v="16"/>
    <x v="16"/>
    <x v="0"/>
    <x v="0"/>
    <x v="14"/>
    <n v="18758"/>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n v="100001"/>
    <s v="Malhotra"/>
    <n v="729"/>
    <x v="0"/>
    <s v="Female"/>
    <n v="19"/>
    <n v="-194164"/>
    <s v="Above 10"/>
  </r>
  <r>
    <n v="2"/>
    <n v="100002"/>
    <s v="Patel"/>
    <n v="744"/>
    <x v="1"/>
    <s v="Male"/>
    <n v="53"/>
    <n v="0"/>
    <s v="Above 50"/>
  </r>
  <r>
    <n v="3"/>
    <n v="100003"/>
    <s v="Jain"/>
    <n v="789"/>
    <x v="2"/>
    <s v="Female"/>
    <n v="30"/>
    <n v="178650"/>
    <s v="Above 20"/>
  </r>
  <r>
    <n v="4"/>
    <n v="100004"/>
    <s v="Singh"/>
    <n v="576"/>
    <x v="3"/>
    <s v="Female"/>
    <n v="0"/>
    <n v="25710"/>
    <s v="Below10"/>
  </r>
  <r>
    <n v="5"/>
    <n v="100005"/>
    <s v="Chopra"/>
    <n v="591"/>
    <x v="0"/>
    <s v="Male"/>
    <n v="28"/>
    <n v="156201"/>
    <s v="Above 20"/>
  </r>
  <r>
    <n v="6"/>
    <n v="100006"/>
    <s v="Mehta"/>
    <n v="692"/>
    <x v="1"/>
    <s v="Female"/>
    <n v="29"/>
    <n v="213952"/>
    <s v="Above 20"/>
  </r>
  <r>
    <n v="7"/>
    <n v="100007"/>
    <s v="Yadav"/>
    <n v="437"/>
    <x v="2"/>
    <s v="Male"/>
    <n v="58"/>
    <n v="176103"/>
    <s v="Above 50"/>
  </r>
  <r>
    <n v="8"/>
    <n v="100008"/>
    <s v="Iyer"/>
    <n v="416"/>
    <x v="3"/>
    <s v="Female"/>
    <n v="46"/>
    <n v="57283"/>
    <s v="Above 40"/>
  </r>
  <r>
    <n v="9"/>
    <n v="100009"/>
    <s v="Saxena"/>
    <n v="368"/>
    <x v="0"/>
    <s v="Male"/>
    <n v="18"/>
    <n v="227626"/>
    <s v="Above 10"/>
  </r>
  <r>
    <n v="10"/>
    <n v="100010"/>
    <s v="Joshi"/>
    <n v="476"/>
    <x v="1"/>
    <s v="Male"/>
    <n v="39"/>
    <n v="260233"/>
    <s v="Above 30"/>
  </r>
  <r>
    <n v="11"/>
    <n v="100011"/>
    <s v="Verma"/>
    <n v="574"/>
    <x v="2"/>
    <s v="Female"/>
    <n v="30"/>
    <n v="168272"/>
    <s v="Above 20"/>
  </r>
  <r>
    <n v="12"/>
    <n v="100012"/>
    <s v="Mishra"/>
    <n v="797"/>
    <x v="3"/>
    <s v="Female"/>
    <n v="27"/>
    <n v="68503"/>
    <s v="Above 20"/>
  </r>
  <r>
    <n v="13"/>
    <n v="100013"/>
    <s v="Reddy"/>
    <n v="493"/>
    <x v="0"/>
    <s v="Male"/>
    <n v="34"/>
    <n v="22604"/>
    <s v="Above 30"/>
  </r>
  <r>
    <n v="14"/>
    <n v="100014"/>
    <s v="Bose"/>
    <n v="803"/>
    <x v="1"/>
    <s v="Male"/>
    <n v="28"/>
    <n v="164365"/>
    <s v="Above 20"/>
  </r>
  <r>
    <n v="15"/>
    <n v="100015"/>
    <s v="Gupta"/>
    <n v="442"/>
    <x v="2"/>
    <s v="Female"/>
    <n v="22"/>
    <n v="180396"/>
    <s v="Above 20"/>
  </r>
  <r>
    <n v="16"/>
    <n v="100016"/>
    <s v="Kulkarni"/>
    <n v="407"/>
    <x v="3"/>
    <s v="Female"/>
    <n v="42"/>
    <n v="13669"/>
    <s v="Above 40"/>
  </r>
  <r>
    <n v="17"/>
    <n v="100017"/>
    <s v="Nair"/>
    <n v="472"/>
    <x v="0"/>
    <s v="Female"/>
    <n v="51"/>
    <n v="18758"/>
    <s v="Above 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4E4B2A-9B1A-491E-ABE3-0E961F0A200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H7" firstHeaderRow="1" firstDataRow="2" firstDataCol="1"/>
  <pivotFields count="9">
    <pivotField showAll="0"/>
    <pivotField showAll="0"/>
    <pivotField axis="axisRow" showAll="0">
      <items count="18">
        <item x="13"/>
        <item x="4"/>
        <item x="14"/>
        <item x="7"/>
        <item x="2"/>
        <item x="9"/>
        <item x="15"/>
        <item x="0"/>
        <item x="5"/>
        <item x="11"/>
        <item x="16"/>
        <item x="1"/>
        <item x="12"/>
        <item x="8"/>
        <item x="3"/>
        <item x="10"/>
        <item x="6"/>
        <item t="default"/>
      </items>
    </pivotField>
    <pivotField dataField="1" numFmtId="1" showAll="0">
      <items count="18">
        <item x="8"/>
        <item x="15"/>
        <item x="7"/>
        <item x="6"/>
        <item x="14"/>
        <item x="16"/>
        <item x="9"/>
        <item x="12"/>
        <item x="10"/>
        <item x="3"/>
        <item x="4"/>
        <item x="5"/>
        <item x="0"/>
        <item x="1"/>
        <item x="2"/>
        <item x="11"/>
        <item x="13"/>
        <item t="default"/>
      </items>
    </pivotField>
    <pivotField showAll="0">
      <items count="5">
        <item x="0"/>
        <item x="1"/>
        <item x="3"/>
        <item x="2"/>
        <item t="default"/>
      </items>
    </pivotField>
    <pivotField axis="axisRow" showAll="0">
      <items count="3">
        <item sd="0" x="0"/>
        <item sd="0" x="1"/>
        <item t="default" sd="0"/>
      </items>
    </pivotField>
    <pivotField showAll="0">
      <items count="16">
        <item x="3"/>
        <item x="8"/>
        <item x="0"/>
        <item x="12"/>
        <item x="10"/>
        <item x="4"/>
        <item x="5"/>
        <item x="2"/>
        <item x="11"/>
        <item x="9"/>
        <item x="13"/>
        <item x="7"/>
        <item x="14"/>
        <item x="1"/>
        <item x="6"/>
        <item t="default"/>
      </items>
    </pivotField>
    <pivotField numFmtId="164" showAll="0"/>
    <pivotField axis="axisCol" showAll="0">
      <items count="7">
        <item x="0"/>
        <item x="2"/>
        <item x="5"/>
        <item x="4"/>
        <item x="1"/>
        <item x="3"/>
        <item t="default"/>
      </items>
    </pivotField>
  </pivotFields>
  <rowFields count="2">
    <field x="5"/>
    <field x="2"/>
  </rowFields>
  <rowItems count="3">
    <i>
      <x/>
    </i>
    <i>
      <x v="1"/>
    </i>
    <i t="grand">
      <x/>
    </i>
  </rowItems>
  <colFields count="1">
    <field x="8"/>
  </colFields>
  <colItems count="7">
    <i>
      <x/>
    </i>
    <i>
      <x v="1"/>
    </i>
    <i>
      <x v="2"/>
    </i>
    <i>
      <x v="3"/>
    </i>
    <i>
      <x v="4"/>
    </i>
    <i>
      <x v="5"/>
    </i>
    <i t="grand">
      <x/>
    </i>
  </colItems>
  <dataFields count="1">
    <dataField name="Sum of credits" fld="3" baseField="0" baseItem="0" numFmtId="1"/>
  </dataFields>
  <chartFormats count="3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 chart="1" format="5" series="1">
      <pivotArea type="data" outline="0" fieldPosition="0">
        <references count="2">
          <reference field="4294967294" count="1" selected="0">
            <x v="0"/>
          </reference>
          <reference field="8" count="1" selected="0">
            <x v="5"/>
          </reference>
        </references>
      </pivotArea>
    </chartFormat>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5"/>
          </reference>
        </references>
      </pivotArea>
    </chartFormat>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 chart="3" format="9" series="1">
      <pivotArea type="data" outline="0" fieldPosition="0">
        <references count="2">
          <reference field="4294967294" count="1" selected="0">
            <x v="0"/>
          </reference>
          <reference field="8" count="1" selected="0">
            <x v="3"/>
          </reference>
        </references>
      </pivotArea>
    </chartFormat>
    <chartFormat chart="3" format="10" series="1">
      <pivotArea type="data" outline="0" fieldPosition="0">
        <references count="2">
          <reference field="4294967294" count="1" selected="0">
            <x v="0"/>
          </reference>
          <reference field="8" count="1" selected="0">
            <x v="4"/>
          </reference>
        </references>
      </pivotArea>
    </chartFormat>
    <chartFormat chart="3" format="11" series="1">
      <pivotArea type="data" outline="0" fieldPosition="0">
        <references count="2">
          <reference field="4294967294" count="1" selected="0">
            <x v="0"/>
          </reference>
          <reference field="8" count="1" selected="0">
            <x v="5"/>
          </reference>
        </references>
      </pivotArea>
    </chartFormat>
    <chartFormat chart="2" format="6">
      <pivotArea type="data" outline="0" fieldPosition="0">
        <references count="3">
          <reference field="4294967294" count="1" selected="0">
            <x v="0"/>
          </reference>
          <reference field="5" count="1" selected="0">
            <x v="0"/>
          </reference>
          <reference field="8" count="1" selected="0">
            <x v="0"/>
          </reference>
        </references>
      </pivotArea>
    </chartFormat>
    <chartFormat chart="2" format="7">
      <pivotArea type="data" outline="0" fieldPosition="0">
        <references count="3">
          <reference field="4294967294" count="1" selected="0">
            <x v="0"/>
          </reference>
          <reference field="5" count="1" selected="0">
            <x v="1"/>
          </reference>
          <reference field="8" count="1" selected="0">
            <x v="0"/>
          </reference>
        </references>
      </pivotArea>
    </chartFormat>
    <chartFormat chart="2" format="8">
      <pivotArea type="data" outline="0" fieldPosition="0">
        <references count="3">
          <reference field="4294967294" count="1" selected="0">
            <x v="0"/>
          </reference>
          <reference field="5" count="1" selected="0">
            <x v="0"/>
          </reference>
          <reference field="8" count="1" selected="0">
            <x v="1"/>
          </reference>
        </references>
      </pivotArea>
    </chartFormat>
    <chartFormat chart="2" format="9">
      <pivotArea type="data" outline="0" fieldPosition="0">
        <references count="3">
          <reference field="4294967294" count="1" selected="0">
            <x v="0"/>
          </reference>
          <reference field="5" count="1" selected="0">
            <x v="1"/>
          </reference>
          <reference field="8" count="1" selected="0">
            <x v="1"/>
          </reference>
        </references>
      </pivotArea>
    </chartFormat>
    <chartFormat chart="2" format="10">
      <pivotArea type="data" outline="0" fieldPosition="0">
        <references count="3">
          <reference field="4294967294" count="1" selected="0">
            <x v="0"/>
          </reference>
          <reference field="5" count="1" selected="0">
            <x v="0"/>
          </reference>
          <reference field="8" count="1" selected="0">
            <x v="2"/>
          </reference>
        </references>
      </pivotArea>
    </chartFormat>
    <chartFormat chart="2" format="11">
      <pivotArea type="data" outline="0" fieldPosition="0">
        <references count="3">
          <reference field="4294967294" count="1" selected="0">
            <x v="0"/>
          </reference>
          <reference field="5" count="1" selected="0">
            <x v="1"/>
          </reference>
          <reference field="8" count="1" selected="0">
            <x v="2"/>
          </reference>
        </references>
      </pivotArea>
    </chartFormat>
    <chartFormat chart="2" format="12">
      <pivotArea type="data" outline="0" fieldPosition="0">
        <references count="3">
          <reference field="4294967294" count="1" selected="0">
            <x v="0"/>
          </reference>
          <reference field="5" count="1" selected="0">
            <x v="0"/>
          </reference>
          <reference field="8" count="1" selected="0">
            <x v="3"/>
          </reference>
        </references>
      </pivotArea>
    </chartFormat>
    <chartFormat chart="2" format="13">
      <pivotArea type="data" outline="0" fieldPosition="0">
        <references count="3">
          <reference field="4294967294" count="1" selected="0">
            <x v="0"/>
          </reference>
          <reference field="5" count="1" selected="0">
            <x v="1"/>
          </reference>
          <reference field="8" count="1" selected="0">
            <x v="3"/>
          </reference>
        </references>
      </pivotArea>
    </chartFormat>
    <chartFormat chart="2" format="14">
      <pivotArea type="data" outline="0" fieldPosition="0">
        <references count="3">
          <reference field="4294967294" count="1" selected="0">
            <x v="0"/>
          </reference>
          <reference field="5" count="1" selected="0">
            <x v="0"/>
          </reference>
          <reference field="8" count="1" selected="0">
            <x v="4"/>
          </reference>
        </references>
      </pivotArea>
    </chartFormat>
    <chartFormat chart="2" format="15">
      <pivotArea type="data" outline="0" fieldPosition="0">
        <references count="3">
          <reference field="4294967294" count="1" selected="0">
            <x v="0"/>
          </reference>
          <reference field="5" count="1" selected="0">
            <x v="1"/>
          </reference>
          <reference field="8" count="1" selected="0">
            <x v="4"/>
          </reference>
        </references>
      </pivotArea>
    </chartFormat>
    <chartFormat chart="2" format="16">
      <pivotArea type="data" outline="0" fieldPosition="0">
        <references count="3">
          <reference field="4294967294" count="1" selected="0">
            <x v="0"/>
          </reference>
          <reference field="5" count="1" selected="0">
            <x v="0"/>
          </reference>
          <reference field="8" count="1" selected="0">
            <x v="5"/>
          </reference>
        </references>
      </pivotArea>
    </chartFormat>
    <chartFormat chart="2" format="17">
      <pivotArea type="data" outline="0" fieldPosition="0">
        <references count="3">
          <reference field="4294967294" count="1" selected="0">
            <x v="0"/>
          </reference>
          <reference field="5" count="1" selected="0">
            <x v="1"/>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F0E449-A57F-4CA5-A462-8F9607B0A0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H5" firstHeaderRow="1" firstDataRow="2" firstDataCol="1"/>
  <pivotFields count="9">
    <pivotField showAll="0"/>
    <pivotField showAll="0"/>
    <pivotField axis="axisRow" showAll="0">
      <items count="18">
        <item x="13"/>
        <item x="4"/>
        <item x="14"/>
        <item x="7"/>
        <item x="2"/>
        <item x="9"/>
        <item x="15"/>
        <item x="0"/>
        <item x="5"/>
        <item x="11"/>
        <item x="16"/>
        <item x="1"/>
        <item x="12"/>
        <item x="8"/>
        <item x="3"/>
        <item x="10"/>
        <item x="6"/>
        <item t="default"/>
      </items>
    </pivotField>
    <pivotField dataField="1" numFmtId="1" showAll="0">
      <items count="18">
        <item x="8"/>
        <item x="15"/>
        <item x="7"/>
        <item x="6"/>
        <item x="14"/>
        <item x="16"/>
        <item x="9"/>
        <item x="12"/>
        <item x="10"/>
        <item x="3"/>
        <item x="4"/>
        <item x="5"/>
        <item x="0"/>
        <item x="1"/>
        <item x="2"/>
        <item x="11"/>
        <item x="13"/>
        <item t="default"/>
      </items>
    </pivotField>
    <pivotField showAll="0">
      <items count="5">
        <item x="0"/>
        <item x="1"/>
        <item x="3"/>
        <item x="2"/>
        <item t="default"/>
      </items>
    </pivotField>
    <pivotField axis="axisRow" showAll="0">
      <items count="3">
        <item sd="0" x="0"/>
        <item sd="0" x="1"/>
        <item t="default" sd="0"/>
      </items>
    </pivotField>
    <pivotField showAll="0">
      <items count="16">
        <item x="3"/>
        <item x="8"/>
        <item x="0"/>
        <item x="12"/>
        <item x="10"/>
        <item x="4"/>
        <item x="5"/>
        <item x="2"/>
        <item x="11"/>
        <item x="9"/>
        <item x="13"/>
        <item x="7"/>
        <item x="14"/>
        <item x="1"/>
        <item x="6"/>
        <item t="default"/>
      </items>
    </pivotField>
    <pivotField numFmtId="164" showAll="0"/>
    <pivotField axis="axisCol" showAll="0">
      <items count="7">
        <item x="0"/>
        <item x="2"/>
        <item x="5"/>
        <item x="4"/>
        <item x="1"/>
        <item x="3"/>
        <item t="default"/>
      </items>
    </pivotField>
  </pivotFields>
  <rowFields count="2">
    <field x="5"/>
    <field x="2"/>
  </rowFields>
  <rowItems count="3">
    <i>
      <x/>
    </i>
    <i>
      <x v="1"/>
    </i>
    <i t="grand">
      <x/>
    </i>
  </rowItems>
  <colFields count="1">
    <field x="8"/>
  </colFields>
  <colItems count="7">
    <i>
      <x/>
    </i>
    <i>
      <x v="1"/>
    </i>
    <i>
      <x v="2"/>
    </i>
    <i>
      <x v="3"/>
    </i>
    <i>
      <x v="4"/>
    </i>
    <i>
      <x v="5"/>
    </i>
    <i t="grand">
      <x/>
    </i>
  </colItems>
  <dataFields count="1">
    <dataField name="Sum of credits" fld="3" baseField="0" baseItem="0" numFmtId="1"/>
  </dataFields>
  <chartFormats count="4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 chart="1" format="5" series="1">
      <pivotArea type="data" outline="0" fieldPosition="0">
        <references count="2">
          <reference field="4294967294" count="1" selected="0">
            <x v="0"/>
          </reference>
          <reference field="8" count="1" selected="0">
            <x v="5"/>
          </reference>
        </references>
      </pivotArea>
    </chartFormat>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5"/>
          </reference>
        </references>
      </pivotArea>
    </chartFormat>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3" format="2" series="1">
      <pivotArea type="data" outline="0" fieldPosition="0">
        <references count="2">
          <reference field="4294967294" count="1" selected="0">
            <x v="0"/>
          </reference>
          <reference field="8" count="1" selected="0">
            <x v="2"/>
          </reference>
        </references>
      </pivotArea>
    </chartFormat>
    <chartFormat chart="3" format="3" series="1">
      <pivotArea type="data" outline="0" fieldPosition="0">
        <references count="2">
          <reference field="4294967294" count="1" selected="0">
            <x v="0"/>
          </reference>
          <reference field="8" count="1" selected="0">
            <x v="3"/>
          </reference>
        </references>
      </pivotArea>
    </chartFormat>
    <chartFormat chart="3" format="4" series="1">
      <pivotArea type="data" outline="0" fieldPosition="0">
        <references count="2">
          <reference field="4294967294" count="1" selected="0">
            <x v="0"/>
          </reference>
          <reference field="8" count="1" selected="0">
            <x v="4"/>
          </reference>
        </references>
      </pivotArea>
    </chartFormat>
    <chartFormat chart="3" format="5" series="1">
      <pivotArea type="data" outline="0" fieldPosition="0">
        <references count="2">
          <reference field="4294967294" count="1" selected="0">
            <x v="0"/>
          </reference>
          <reference field="8" count="1" selected="0">
            <x v="5"/>
          </reference>
        </references>
      </pivotArea>
    </chartFormat>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series="1">
      <pivotArea type="data" outline="0" fieldPosition="0">
        <references count="2">
          <reference field="4294967294" count="1" selected="0">
            <x v="0"/>
          </reference>
          <reference field="8" count="1" selected="0">
            <x v="2"/>
          </reference>
        </references>
      </pivotArea>
    </chartFormat>
    <chartFormat chart="5" format="3" series="1">
      <pivotArea type="data" outline="0" fieldPosition="0">
        <references count="2">
          <reference field="4294967294" count="1" selected="0">
            <x v="0"/>
          </reference>
          <reference field="8" count="1" selected="0">
            <x v="3"/>
          </reference>
        </references>
      </pivotArea>
    </chartFormat>
    <chartFormat chart="5" format="4" series="1">
      <pivotArea type="data" outline="0" fieldPosition="0">
        <references count="2">
          <reference field="4294967294" count="1" selected="0">
            <x v="0"/>
          </reference>
          <reference field="8" count="1" selected="0">
            <x v="4"/>
          </reference>
        </references>
      </pivotArea>
    </chartFormat>
    <chartFormat chart="5" format="5" series="1">
      <pivotArea type="data" outline="0" fieldPosition="0">
        <references count="2">
          <reference field="4294967294" count="1" selected="0">
            <x v="0"/>
          </reference>
          <reference field="8" count="1" selected="0">
            <x v="5"/>
          </reference>
        </references>
      </pivotArea>
    </chartFormat>
    <chartFormat chart="5" format="6">
      <pivotArea type="data" outline="0" fieldPosition="0">
        <references count="3">
          <reference field="4294967294" count="1" selected="0">
            <x v="0"/>
          </reference>
          <reference field="5" count="1" selected="0">
            <x v="0"/>
          </reference>
          <reference field="8" count="1" selected="0">
            <x v="0"/>
          </reference>
        </references>
      </pivotArea>
    </chartFormat>
    <chartFormat chart="5" format="7">
      <pivotArea type="data" outline="0" fieldPosition="0">
        <references count="3">
          <reference field="4294967294" count="1" selected="0">
            <x v="0"/>
          </reference>
          <reference field="5" count="1" selected="0">
            <x v="1"/>
          </reference>
          <reference field="8" count="1" selected="0">
            <x v="0"/>
          </reference>
        </references>
      </pivotArea>
    </chartFormat>
    <chartFormat chart="5" format="8">
      <pivotArea type="data" outline="0" fieldPosition="0">
        <references count="3">
          <reference field="4294967294" count="1" selected="0">
            <x v="0"/>
          </reference>
          <reference field="5" count="1" selected="0">
            <x v="0"/>
          </reference>
          <reference field="8" count="1" selected="0">
            <x v="1"/>
          </reference>
        </references>
      </pivotArea>
    </chartFormat>
    <chartFormat chart="5" format="9">
      <pivotArea type="data" outline="0" fieldPosition="0">
        <references count="3">
          <reference field="4294967294" count="1" selected="0">
            <x v="0"/>
          </reference>
          <reference field="5" count="1" selected="0">
            <x v="1"/>
          </reference>
          <reference field="8" count="1" selected="0">
            <x v="1"/>
          </reference>
        </references>
      </pivotArea>
    </chartFormat>
    <chartFormat chart="5" format="10">
      <pivotArea type="data" outline="0" fieldPosition="0">
        <references count="3">
          <reference field="4294967294" count="1" selected="0">
            <x v="0"/>
          </reference>
          <reference field="5" count="1" selected="0">
            <x v="0"/>
          </reference>
          <reference field="8" count="1" selected="0">
            <x v="2"/>
          </reference>
        </references>
      </pivotArea>
    </chartFormat>
    <chartFormat chart="5" format="11">
      <pivotArea type="data" outline="0" fieldPosition="0">
        <references count="3">
          <reference field="4294967294" count="1" selected="0">
            <x v="0"/>
          </reference>
          <reference field="5" count="1" selected="0">
            <x v="1"/>
          </reference>
          <reference field="8" count="1" selected="0">
            <x v="2"/>
          </reference>
        </references>
      </pivotArea>
    </chartFormat>
    <chartFormat chart="5" format="12">
      <pivotArea type="data" outline="0" fieldPosition="0">
        <references count="3">
          <reference field="4294967294" count="1" selected="0">
            <x v="0"/>
          </reference>
          <reference field="5" count="1" selected="0">
            <x v="0"/>
          </reference>
          <reference field="8" count="1" selected="0">
            <x v="3"/>
          </reference>
        </references>
      </pivotArea>
    </chartFormat>
    <chartFormat chart="5" format="13">
      <pivotArea type="data" outline="0" fieldPosition="0">
        <references count="3">
          <reference field="4294967294" count="1" selected="0">
            <x v="0"/>
          </reference>
          <reference field="5" count="1" selected="0">
            <x v="1"/>
          </reference>
          <reference field="8" count="1" selected="0">
            <x v="3"/>
          </reference>
        </references>
      </pivotArea>
    </chartFormat>
    <chartFormat chart="5" format="14">
      <pivotArea type="data" outline="0" fieldPosition="0">
        <references count="3">
          <reference field="4294967294" count="1" selected="0">
            <x v="0"/>
          </reference>
          <reference field="5" count="1" selected="0">
            <x v="0"/>
          </reference>
          <reference field="8" count="1" selected="0">
            <x v="4"/>
          </reference>
        </references>
      </pivotArea>
    </chartFormat>
    <chartFormat chart="5" format="15">
      <pivotArea type="data" outline="0" fieldPosition="0">
        <references count="3">
          <reference field="4294967294" count="1" selected="0">
            <x v="0"/>
          </reference>
          <reference field="5" count="1" selected="0">
            <x v="1"/>
          </reference>
          <reference field="8" count="1" selected="0">
            <x v="4"/>
          </reference>
        </references>
      </pivotArea>
    </chartFormat>
    <chartFormat chart="5" format="16">
      <pivotArea type="data" outline="0" fieldPosition="0">
        <references count="3">
          <reference field="4294967294" count="1" selected="0">
            <x v="0"/>
          </reference>
          <reference field="5" count="1" selected="0">
            <x v="0"/>
          </reference>
          <reference field="8" count="1" selected="0">
            <x v="5"/>
          </reference>
        </references>
      </pivotArea>
    </chartFormat>
    <chartFormat chart="5" format="17">
      <pivotArea type="data" outline="0" fieldPosition="0">
        <references count="3">
          <reference field="4294967294" count="1" selected="0">
            <x v="0"/>
          </reference>
          <reference field="5" count="1" selected="0">
            <x v="1"/>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BEAB45-FDAB-4606-A7D7-38CA2E5D3B8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9">
    <pivotField showAll="0"/>
    <pivotField showAll="0"/>
    <pivotField showAll="0"/>
    <pivotField dataField="1" numFmtId="1" showAll="0"/>
    <pivotField axis="axisRow" showAll="0">
      <items count="5">
        <item x="0"/>
        <item x="1"/>
        <item x="3"/>
        <item x="2"/>
        <item t="default"/>
      </items>
    </pivotField>
    <pivotField showAll="0"/>
    <pivotField showAll="0"/>
    <pivotField numFmtId="164" showAll="0"/>
    <pivotField showAll="0"/>
  </pivotFields>
  <rowFields count="1">
    <field x="4"/>
  </rowFields>
  <rowItems count="5">
    <i>
      <x/>
    </i>
    <i>
      <x v="1"/>
    </i>
    <i>
      <x v="2"/>
    </i>
    <i>
      <x v="3"/>
    </i>
    <i t="grand">
      <x/>
    </i>
  </rowItems>
  <colItems count="1">
    <i/>
  </colItems>
  <dataFields count="1">
    <dataField name="Sum of credits" fld="3"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riteria" xr10:uid="{1BEED02D-9689-45D1-A664-665A8F70D34F}" sourceName="Age criteria">
  <pivotTables>
    <pivotTable tabId="4" name="PivotTable14"/>
    <pivotTable tabId="5" name="PivotTable1"/>
  </pivotTables>
  <data>
    <tabular pivotCacheId="315091770">
      <items count="6">
        <i x="0" s="1"/>
        <i x="2" s="1"/>
        <i x="5"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7B658F29-2871-4ABB-BB2F-A3B60B791506}" sourceName="Geography">
  <pivotTables>
    <pivotTable tabId="4" name="PivotTable14"/>
    <pivotTable tabId="5" name="PivotTable1"/>
  </pivotTables>
  <data>
    <tabular pivotCacheId="315091770">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s" xr10:uid="{2F320299-243F-4857-B9BD-180457E7C815}" sourceName="credits">
  <pivotTables>
    <pivotTable tabId="4" name="PivotTable14"/>
    <pivotTable tabId="5" name="PivotTable1"/>
  </pivotTables>
  <data>
    <tabular pivotCacheId="315091770">
      <items count="17">
        <i x="8" s="1"/>
        <i x="15" s="1"/>
        <i x="7" s="1"/>
        <i x="6" s="1"/>
        <i x="14" s="1"/>
        <i x="16" s="1"/>
        <i x="9" s="1"/>
        <i x="12" s="1"/>
        <i x="10" s="1"/>
        <i x="3" s="1"/>
        <i x="4" s="1"/>
        <i x="5" s="1"/>
        <i x="0" s="1"/>
        <i x="1" s="1"/>
        <i x="2" s="1"/>
        <i x="11"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0AF61AA-FE09-4BD5-AA05-E8411EFF15A6}" sourceName="Gender">
  <pivotTables>
    <pivotTable tabId="4" name="PivotTable14"/>
    <pivotTable tabId="5" name="PivotTable1"/>
  </pivotTables>
  <data>
    <tabular pivotCacheId="31509177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riteria" xr10:uid="{D7A28E07-9BCC-4A00-A3B5-E41BEF51AFF0}" cache="Slicer_Age_criteria" caption="Age criteria" rowHeight="241300"/>
  <slicer name="Geography" xr10:uid="{12F1A233-F667-43F1-8838-4EB4F44C7BD6}" cache="Slicer_Geography" caption="Geography" rowHeight="241300"/>
  <slicer name="credits" xr10:uid="{266352C3-B5B8-4D9D-BE84-B031AD294608}" cache="Slicer_credits" caption="credits" rowHeight="241300"/>
  <slicer name="Gender 1" xr10:uid="{6AD7E563-F0BC-4558-8C30-29C9DF4D43F3}" cache="Slicer_Gender1"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AF54E-B438-4276-A6AD-2FD6A37BB1BC}">
  <dimension ref="A3:H7"/>
  <sheetViews>
    <sheetView workbookViewId="0">
      <selection activeCell="H23" sqref="H23"/>
    </sheetView>
  </sheetViews>
  <sheetFormatPr defaultRowHeight="15" x14ac:dyDescent="0.25"/>
  <cols>
    <col min="1" max="1" width="13.7109375" bestFit="1" customWidth="1"/>
    <col min="2" max="2" width="16.28515625" bestFit="1" customWidth="1"/>
    <col min="3" max="6" width="9.140625" bestFit="1" customWidth="1"/>
    <col min="7" max="7" width="8.5703125" bestFit="1" customWidth="1"/>
    <col min="8" max="8" width="11.28515625" bestFit="1" customWidth="1"/>
  </cols>
  <sheetData>
    <row r="3" spans="1:8" x14ac:dyDescent="0.25">
      <c r="A3" s="2" t="s">
        <v>33</v>
      </c>
      <c r="B3" s="2" t="s">
        <v>30</v>
      </c>
    </row>
    <row r="4" spans="1:8" x14ac:dyDescent="0.25">
      <c r="A4" s="2" t="s">
        <v>31</v>
      </c>
      <c r="B4" t="s">
        <v>37</v>
      </c>
      <c r="C4" t="s">
        <v>38</v>
      </c>
      <c r="D4" t="s">
        <v>39</v>
      </c>
      <c r="E4" t="s">
        <v>35</v>
      </c>
      <c r="F4" t="s">
        <v>40</v>
      </c>
      <c r="G4" t="s">
        <v>41</v>
      </c>
      <c r="H4" t="s">
        <v>32</v>
      </c>
    </row>
    <row r="5" spans="1:8" x14ac:dyDescent="0.25">
      <c r="A5" s="3" t="s">
        <v>9</v>
      </c>
      <c r="B5" s="1">
        <v>729</v>
      </c>
      <c r="C5" s="1">
        <v>3294</v>
      </c>
      <c r="D5" s="1"/>
      <c r="E5" s="1">
        <v>823</v>
      </c>
      <c r="F5" s="1">
        <v>472</v>
      </c>
      <c r="G5" s="1">
        <v>576</v>
      </c>
      <c r="H5" s="1">
        <v>5894</v>
      </c>
    </row>
    <row r="6" spans="1:8" x14ac:dyDescent="0.25">
      <c r="A6" s="3" t="s">
        <v>12</v>
      </c>
      <c r="B6" s="1">
        <v>368</v>
      </c>
      <c r="C6" s="1">
        <v>1394</v>
      </c>
      <c r="D6" s="1">
        <v>969</v>
      </c>
      <c r="E6" s="1"/>
      <c r="F6" s="1">
        <v>1181</v>
      </c>
      <c r="G6" s="1"/>
      <c r="H6" s="1">
        <v>3912</v>
      </c>
    </row>
    <row r="7" spans="1:8" x14ac:dyDescent="0.25">
      <c r="A7" s="3" t="s">
        <v>32</v>
      </c>
      <c r="B7" s="1">
        <v>1097</v>
      </c>
      <c r="C7" s="1">
        <v>4688</v>
      </c>
      <c r="D7" s="1">
        <v>969</v>
      </c>
      <c r="E7" s="1">
        <v>823</v>
      </c>
      <c r="F7" s="1">
        <v>1653</v>
      </c>
      <c r="G7" s="1">
        <v>576</v>
      </c>
      <c r="H7" s="1">
        <v>9806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EB8D8-67FB-41DB-B15E-CD269A24CBE7}">
  <dimension ref="A1:H5"/>
  <sheetViews>
    <sheetView workbookViewId="0">
      <selection activeCell="H8" sqref="H8"/>
    </sheetView>
  </sheetViews>
  <sheetFormatPr defaultRowHeight="15" x14ac:dyDescent="0.25"/>
  <cols>
    <col min="1" max="1" width="13.7109375" bestFit="1" customWidth="1"/>
    <col min="2" max="2" width="16.28515625" bestFit="1" customWidth="1"/>
    <col min="3" max="3" width="9.140625" bestFit="1" customWidth="1"/>
    <col min="5" max="6" width="9.140625" bestFit="1" customWidth="1"/>
    <col min="7" max="7" width="8.5703125" bestFit="1" customWidth="1"/>
    <col min="8" max="8" width="11.28515625" bestFit="1" customWidth="1"/>
  </cols>
  <sheetData>
    <row r="1" spans="1:8" x14ac:dyDescent="0.25">
      <c r="A1" s="2" t="s">
        <v>33</v>
      </c>
      <c r="B1" s="2" t="s">
        <v>30</v>
      </c>
    </row>
    <row r="2" spans="1:8" x14ac:dyDescent="0.25">
      <c r="A2" s="2" t="s">
        <v>31</v>
      </c>
      <c r="B2" t="s">
        <v>37</v>
      </c>
      <c r="C2" t="s">
        <v>38</v>
      </c>
      <c r="D2" t="s">
        <v>39</v>
      </c>
      <c r="E2" t="s">
        <v>35</v>
      </c>
      <c r="F2" t="s">
        <v>40</v>
      </c>
      <c r="G2" t="s">
        <v>41</v>
      </c>
      <c r="H2" t="s">
        <v>32</v>
      </c>
    </row>
    <row r="3" spans="1:8" x14ac:dyDescent="0.25">
      <c r="A3" s="3" t="s">
        <v>9</v>
      </c>
      <c r="B3" s="1">
        <v>729</v>
      </c>
      <c r="C3" s="1">
        <v>3294</v>
      </c>
      <c r="D3" s="1"/>
      <c r="E3" s="1">
        <v>823</v>
      </c>
      <c r="F3" s="1">
        <v>472</v>
      </c>
      <c r="G3" s="1">
        <v>576</v>
      </c>
      <c r="H3" s="1">
        <v>5894</v>
      </c>
    </row>
    <row r="4" spans="1:8" x14ac:dyDescent="0.25">
      <c r="A4" s="3" t="s">
        <v>12</v>
      </c>
      <c r="B4" s="1">
        <v>368</v>
      </c>
      <c r="C4" s="1">
        <v>1394</v>
      </c>
      <c r="D4" s="1">
        <v>969</v>
      </c>
      <c r="E4" s="1"/>
      <c r="F4" s="1">
        <v>1181</v>
      </c>
      <c r="G4" s="1"/>
      <c r="H4" s="1">
        <v>3912</v>
      </c>
    </row>
    <row r="5" spans="1:8" x14ac:dyDescent="0.25">
      <c r="A5" s="3" t="s">
        <v>32</v>
      </c>
      <c r="B5" s="1">
        <v>1097</v>
      </c>
      <c r="C5" s="1">
        <v>4688</v>
      </c>
      <c r="D5" s="1">
        <v>969</v>
      </c>
      <c r="E5" s="1">
        <v>823</v>
      </c>
      <c r="F5" s="1">
        <v>1653</v>
      </c>
      <c r="G5" s="1">
        <v>576</v>
      </c>
      <c r="H5" s="1">
        <v>9806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7CD1D-8EB8-4D48-B735-49BEA951C25F}">
  <dimension ref="A3:B8"/>
  <sheetViews>
    <sheetView workbookViewId="0">
      <selection activeCell="Q24" sqref="Q24"/>
    </sheetView>
  </sheetViews>
  <sheetFormatPr defaultRowHeight="15" x14ac:dyDescent="0.25"/>
  <cols>
    <col min="1" max="1" width="13.140625" bestFit="1" customWidth="1"/>
    <col min="2" max="2" width="13.7109375" bestFit="1" customWidth="1"/>
  </cols>
  <sheetData>
    <row r="3" spans="1:2" x14ac:dyDescent="0.25">
      <c r="A3" s="2" t="s">
        <v>31</v>
      </c>
      <c r="B3" t="s">
        <v>33</v>
      </c>
    </row>
    <row r="4" spans="1:2" x14ac:dyDescent="0.25">
      <c r="A4" s="3" t="s">
        <v>8</v>
      </c>
      <c r="B4" s="1">
        <v>2653</v>
      </c>
    </row>
    <row r="5" spans="1:2" x14ac:dyDescent="0.25">
      <c r="A5" s="3" t="s">
        <v>11</v>
      </c>
      <c r="B5" s="1">
        <v>2715</v>
      </c>
    </row>
    <row r="6" spans="1:2" x14ac:dyDescent="0.25">
      <c r="A6" s="3" t="s">
        <v>16</v>
      </c>
      <c r="B6" s="1">
        <v>2196</v>
      </c>
    </row>
    <row r="7" spans="1:2" x14ac:dyDescent="0.25">
      <c r="A7" s="3" t="s">
        <v>14</v>
      </c>
      <c r="B7" s="1">
        <v>2242</v>
      </c>
    </row>
    <row r="8" spans="1:2" x14ac:dyDescent="0.25">
      <c r="A8" s="3" t="s">
        <v>32</v>
      </c>
      <c r="B8" s="1">
        <v>9806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4FCA-7BBD-4855-BAC1-89A22FCF2619}">
  <dimension ref="A1:AC45"/>
  <sheetViews>
    <sheetView tabSelected="1" topLeftCell="H1" workbookViewId="0">
      <selection activeCell="U25" sqref="U25"/>
    </sheetView>
  </sheetViews>
  <sheetFormatPr defaultRowHeight="15" x14ac:dyDescent="0.25"/>
  <cols>
    <col min="3" max="3" width="19.28515625" customWidth="1"/>
    <col min="5" max="5" width="19.5703125" customWidth="1"/>
    <col min="8" max="8" width="15.42578125" customWidth="1"/>
    <col min="9" max="9" width="13.7109375" customWidth="1"/>
    <col min="10" max="10" width="12.28515625" customWidth="1"/>
    <col min="20" max="20" width="11.42578125" customWidth="1"/>
    <col min="21" max="21" width="10.42578125" customWidth="1"/>
    <col min="22" max="22" width="12.42578125" customWidth="1"/>
    <col min="23" max="23" width="11" customWidth="1"/>
  </cols>
  <sheetData>
    <row r="1" spans="1:29" x14ac:dyDescent="0.25">
      <c r="A1" s="4" t="s">
        <v>0</v>
      </c>
      <c r="B1" s="4" t="s">
        <v>1</v>
      </c>
      <c r="C1" s="4" t="s">
        <v>36</v>
      </c>
      <c r="D1" s="4" t="s">
        <v>2</v>
      </c>
      <c r="E1" s="7" t="s">
        <v>3</v>
      </c>
      <c r="F1" s="4" t="s">
        <v>4</v>
      </c>
      <c r="G1" s="4" t="s">
        <v>5</v>
      </c>
      <c r="H1" s="4" t="s">
        <v>6</v>
      </c>
      <c r="I1" s="4" t="s">
        <v>34</v>
      </c>
    </row>
    <row r="2" spans="1:29" x14ac:dyDescent="0.25">
      <c r="A2" s="4">
        <v>9</v>
      </c>
      <c r="B2" s="4">
        <v>100009</v>
      </c>
      <c r="C2" s="4" t="s">
        <v>17</v>
      </c>
      <c r="D2" s="5">
        <v>368</v>
      </c>
      <c r="E2" s="4" t="s">
        <v>8</v>
      </c>
      <c r="F2" s="4" t="s">
        <v>12</v>
      </c>
      <c r="G2" s="4">
        <v>18</v>
      </c>
      <c r="H2" s="9">
        <v>227626</v>
      </c>
      <c r="I2" s="4" t="str">
        <f>IF(Sheet1!G10&gt;50,"Above 50",IF(Sheet1!G10&gt;40,"Above 40",IF(Sheet1!G10&gt;30,"Above 30",IF(Sheet1!G10&gt;20,"Above 20",IF(Sheet1!G10&gt;10,"Above 10","Below10")))))</f>
        <v>Above 20</v>
      </c>
      <c r="J2" s="6"/>
    </row>
    <row r="3" spans="1:29" x14ac:dyDescent="0.25">
      <c r="A3" s="4">
        <v>16</v>
      </c>
      <c r="B3" s="4">
        <v>100016</v>
      </c>
      <c r="C3" s="4" t="s">
        <v>18</v>
      </c>
      <c r="D3" s="5">
        <v>407</v>
      </c>
      <c r="E3" s="4" t="s">
        <v>11</v>
      </c>
      <c r="F3" s="4" t="s">
        <v>9</v>
      </c>
      <c r="G3" s="5">
        <v>42</v>
      </c>
      <c r="H3" s="9">
        <v>13669</v>
      </c>
      <c r="I3" s="4" t="str">
        <f>IF(Sheet1!G17&gt;50,"Above 50",IF(Sheet1!G17&gt;40,"Above 40",IF(Sheet1!G17&gt;30,"Above 30",IF(Sheet1!G17&gt;20,"Above 20",IF(Sheet1!G17&gt;10,"Above 10","Below10")))))</f>
        <v>Above 20</v>
      </c>
    </row>
    <row r="4" spans="1:29" x14ac:dyDescent="0.25">
      <c r="A4" s="4">
        <v>8</v>
      </c>
      <c r="B4" s="4">
        <v>100008</v>
      </c>
      <c r="C4" s="4" t="s">
        <v>10</v>
      </c>
      <c r="D4" s="5">
        <v>416</v>
      </c>
      <c r="E4" s="4" t="s">
        <v>16</v>
      </c>
      <c r="F4" s="4" t="s">
        <v>9</v>
      </c>
      <c r="G4" s="4">
        <v>46</v>
      </c>
      <c r="H4" s="9">
        <v>57283</v>
      </c>
      <c r="I4" s="4" t="str">
        <f>IF(Sheet1!G9&gt;50,"Above 50",IF(Sheet1!G9&gt;40,"Above 40",IF(Sheet1!G9&gt;30,"Above 30",IF(Sheet1!G9&gt;20,"Above 20",IF(Sheet1!G9&gt;10,"Above 10","Below10")))))</f>
        <v>Above 30</v>
      </c>
      <c r="S4" t="s">
        <v>50</v>
      </c>
      <c r="T4" t="s">
        <v>51</v>
      </c>
      <c r="U4" t="s">
        <v>52</v>
      </c>
      <c r="V4" t="s">
        <v>53</v>
      </c>
      <c r="W4" t="s">
        <v>54</v>
      </c>
      <c r="X4" t="s">
        <v>60</v>
      </c>
      <c r="Y4" t="s">
        <v>61</v>
      </c>
    </row>
    <row r="5" spans="1:29" x14ac:dyDescent="0.25">
      <c r="A5" s="4">
        <v>7</v>
      </c>
      <c r="B5" s="4">
        <v>100007</v>
      </c>
      <c r="C5" s="4" t="s">
        <v>19</v>
      </c>
      <c r="D5" s="5">
        <v>437</v>
      </c>
      <c r="E5" s="4" t="s">
        <v>14</v>
      </c>
      <c r="F5" s="4" t="s">
        <v>12</v>
      </c>
      <c r="G5" s="4">
        <v>58</v>
      </c>
      <c r="H5" s="9">
        <v>176103</v>
      </c>
      <c r="I5" s="4" t="str">
        <f>IF(Sheet1!G8&gt;50,"Above 50",IF(Sheet1!G8&gt;40,"Above 40",IF(Sheet1!G8&gt;30,"Above 30",IF(Sheet1!G8&gt;20,"Above 20",IF(Sheet1!G8&gt;10,"Above 10","Below10")))))</f>
        <v>Above 30</v>
      </c>
      <c r="S5" t="s">
        <v>55</v>
      </c>
      <c r="T5">
        <v>90</v>
      </c>
      <c r="U5">
        <v>78</v>
      </c>
      <c r="V5">
        <v>78</v>
      </c>
      <c r="W5">
        <v>89</v>
      </c>
      <c r="X5">
        <v>90</v>
      </c>
      <c r="Y5">
        <v>81</v>
      </c>
      <c r="AC5">
        <f>Y6</f>
        <v>77</v>
      </c>
    </row>
    <row r="6" spans="1:29" x14ac:dyDescent="0.25">
      <c r="A6" s="4">
        <v>15</v>
      </c>
      <c r="B6" s="4">
        <v>100015</v>
      </c>
      <c r="C6" s="4" t="s">
        <v>25</v>
      </c>
      <c r="D6" s="5">
        <v>442</v>
      </c>
      <c r="E6" s="4" t="s">
        <v>16</v>
      </c>
      <c r="F6" s="4" t="s">
        <v>9</v>
      </c>
      <c r="G6" s="5">
        <v>22</v>
      </c>
      <c r="H6" s="9">
        <v>180396</v>
      </c>
      <c r="I6" s="4" t="str">
        <f>IF(Sheet1!G16&gt;50,"Above 50",IF(Sheet1!G16&gt;40,"Above 40",IF(Sheet1!G16&gt;30,"Above 30",IF(Sheet1!G16&gt;20,"Above 20",IF(Sheet1!G16&gt;10,"Above 10","Below10")))))</f>
        <v>Above 20</v>
      </c>
      <c r="J6" t="s">
        <v>49</v>
      </c>
      <c r="S6" t="s">
        <v>56</v>
      </c>
      <c r="T6">
        <v>65</v>
      </c>
      <c r="U6">
        <v>76</v>
      </c>
      <c r="V6">
        <v>90</v>
      </c>
      <c r="W6">
        <v>77</v>
      </c>
      <c r="Y6">
        <f>AVERAGE(T6:X6)</f>
        <v>77</v>
      </c>
      <c r="AB6">
        <v>70</v>
      </c>
      <c r="AC6">
        <f t="dataTable" ref="AC6:AC10" dt2D="0" dtr="0" r1="T6"/>
        <v>78.25</v>
      </c>
    </row>
    <row r="7" spans="1:29" x14ac:dyDescent="0.25">
      <c r="A7" s="4">
        <v>17</v>
      </c>
      <c r="B7" s="4">
        <v>100017</v>
      </c>
      <c r="C7" s="4" t="s">
        <v>13</v>
      </c>
      <c r="D7" s="5">
        <v>472</v>
      </c>
      <c r="E7" s="4" t="s">
        <v>8</v>
      </c>
      <c r="F7" s="4" t="s">
        <v>9</v>
      </c>
      <c r="G7" s="5">
        <v>51</v>
      </c>
      <c r="H7" s="9">
        <v>18758</v>
      </c>
      <c r="I7" s="4" t="str">
        <f>IF(Sheet1!G18&gt;50,"Above 50",IF(Sheet1!G18&gt;40,"Above 40",IF(Sheet1!G18&gt;30,"Above 30",IF(Sheet1!G18&gt;20,"Above 20",IF(Sheet1!G18&gt;10,"Above 10","Below10")))))</f>
        <v>Above 20</v>
      </c>
      <c r="N7">
        <v>6</v>
      </c>
      <c r="S7" t="s">
        <v>57</v>
      </c>
      <c r="T7">
        <v>45</v>
      </c>
      <c r="U7">
        <v>89</v>
      </c>
      <c r="V7">
        <v>87</v>
      </c>
      <c r="W7">
        <v>89</v>
      </c>
      <c r="Y7">
        <f t="shared" ref="Y7:Y9" si="0">AVERAGE(T7:X7)</f>
        <v>77.5</v>
      </c>
      <c r="AB7">
        <v>75</v>
      </c>
      <c r="AC7">
        <v>79.5</v>
      </c>
    </row>
    <row r="8" spans="1:29" x14ac:dyDescent="0.25">
      <c r="A8" s="4">
        <v>10</v>
      </c>
      <c r="B8" s="4">
        <v>100010</v>
      </c>
      <c r="C8" s="4" t="s">
        <v>24</v>
      </c>
      <c r="D8" s="5">
        <v>476</v>
      </c>
      <c r="E8" s="4" t="s">
        <v>16</v>
      </c>
      <c r="F8" s="4" t="s">
        <v>12</v>
      </c>
      <c r="G8" s="4">
        <v>39</v>
      </c>
      <c r="H8" s="9">
        <v>260233</v>
      </c>
      <c r="I8" s="4" t="str">
        <f>IF(Sheet1!G11&gt;50,"Above 50",IF(Sheet1!G11&gt;40,"Above 40",IF(Sheet1!G11&gt;30,"Above 30",IF(Sheet1!G11&gt;20,"Above 20",IF(Sheet1!G11&gt;10,"Above 10","Below10")))))</f>
        <v>Below10</v>
      </c>
      <c r="N8">
        <v>8</v>
      </c>
      <c r="S8" t="s">
        <v>58</v>
      </c>
      <c r="T8">
        <v>78</v>
      </c>
      <c r="U8">
        <v>98</v>
      </c>
      <c r="V8">
        <v>89</v>
      </c>
      <c r="W8">
        <v>77</v>
      </c>
      <c r="Y8">
        <f t="shared" si="0"/>
        <v>85.5</v>
      </c>
      <c r="AB8">
        <v>80</v>
      </c>
      <c r="AC8">
        <v>80.75</v>
      </c>
    </row>
    <row r="9" spans="1:29" x14ac:dyDescent="0.25">
      <c r="A9" s="4">
        <v>13</v>
      </c>
      <c r="B9" s="4">
        <v>100013</v>
      </c>
      <c r="C9" s="4" t="s">
        <v>27</v>
      </c>
      <c r="D9" s="5">
        <v>493</v>
      </c>
      <c r="E9" s="4" t="s">
        <v>8</v>
      </c>
      <c r="F9" s="4" t="s">
        <v>12</v>
      </c>
      <c r="G9" s="5">
        <v>34</v>
      </c>
      <c r="H9" s="9">
        <v>22604</v>
      </c>
      <c r="I9" s="4" t="str">
        <f>IF(Sheet1!G14&gt;50,"Above 50",IF(Sheet1!G14&gt;40,"Above 40",IF(Sheet1!G14&gt;30,"Above 30",IF(Sheet1!G14&gt;20,"Above 20",IF(Sheet1!G14&gt;10,"Above 10","Below10")))))</f>
        <v>Above 10</v>
      </c>
      <c r="N9">
        <v>11</v>
      </c>
      <c r="S9" t="s">
        <v>59</v>
      </c>
      <c r="T9">
        <v>95</v>
      </c>
      <c r="U9">
        <v>87</v>
      </c>
      <c r="V9">
        <v>77</v>
      </c>
      <c r="W9">
        <v>99</v>
      </c>
      <c r="Y9">
        <f t="shared" si="0"/>
        <v>89.5</v>
      </c>
      <c r="AB9">
        <v>85</v>
      </c>
      <c r="AC9">
        <v>82</v>
      </c>
    </row>
    <row r="10" spans="1:29" x14ac:dyDescent="0.25">
      <c r="A10" s="4">
        <v>11</v>
      </c>
      <c r="B10" s="4">
        <v>100011</v>
      </c>
      <c r="C10" s="4" t="s">
        <v>23</v>
      </c>
      <c r="D10" s="5">
        <v>574</v>
      </c>
      <c r="E10" s="4" t="s">
        <v>14</v>
      </c>
      <c r="F10" s="4" t="s">
        <v>9</v>
      </c>
      <c r="G10" s="4">
        <v>30</v>
      </c>
      <c r="H10" s="9">
        <v>168272</v>
      </c>
      <c r="I10" s="4" t="str">
        <f>IF(Sheet1!G12&gt;50,"Above 50",IF(Sheet1!G12&gt;40,"Above 40",IF(Sheet1!G12&gt;30,"Above 30",IF(Sheet1!G12&gt;20,"Above 20",IF(Sheet1!G12&gt;10,"Above 10","Below10")))))</f>
        <v>Above 20</v>
      </c>
      <c r="N10">
        <v>12</v>
      </c>
      <c r="AB10">
        <v>90</v>
      </c>
      <c r="AC10">
        <v>83.25</v>
      </c>
    </row>
    <row r="11" spans="1:29" x14ac:dyDescent="0.25">
      <c r="A11" s="4">
        <v>4</v>
      </c>
      <c r="B11" s="4">
        <v>100004</v>
      </c>
      <c r="C11" s="4" t="s">
        <v>26</v>
      </c>
      <c r="D11" s="5">
        <v>576</v>
      </c>
      <c r="E11" s="4" t="s">
        <v>8</v>
      </c>
      <c r="F11" s="4" t="s">
        <v>9</v>
      </c>
      <c r="G11" s="4">
        <v>0</v>
      </c>
      <c r="H11" s="9">
        <v>25710</v>
      </c>
      <c r="I11" s="4" t="str">
        <f>IF(Sheet1!G5&gt;50,"Above 50",IF(Sheet1!G5&gt;40,"Above 40",IF(Sheet1!G5&gt;30,"Above 30",IF(Sheet1!G5&gt;20,"Above 20",IF(Sheet1!G5&gt;10,"Above 10","Below10")))))</f>
        <v>Above 50</v>
      </c>
      <c r="N11">
        <v>34</v>
      </c>
    </row>
    <row r="12" spans="1:29" x14ac:dyDescent="0.25">
      <c r="A12" s="4">
        <v>5</v>
      </c>
      <c r="B12" s="4">
        <v>100005</v>
      </c>
      <c r="C12" s="4" t="s">
        <v>21</v>
      </c>
      <c r="D12" s="5">
        <v>591</v>
      </c>
      <c r="E12" s="4" t="s">
        <v>14</v>
      </c>
      <c r="F12" s="4" t="s">
        <v>12</v>
      </c>
      <c r="G12" s="4">
        <v>28</v>
      </c>
      <c r="H12" s="9">
        <v>156201</v>
      </c>
      <c r="I12" s="4" t="str">
        <f>IF(Sheet1!G6&gt;50,"Above 50",IF(Sheet1!G6&gt;40,"Above 40",IF(Sheet1!G6&gt;30,"Above 30",IF(Sheet1!G6&gt;20,"Above 20",IF(Sheet1!G6&gt;10,"Above 10","Below10")))))</f>
        <v>Above 20</v>
      </c>
      <c r="N12">
        <v>4</v>
      </c>
    </row>
    <row r="13" spans="1:29" x14ac:dyDescent="0.25">
      <c r="A13" s="4">
        <v>6</v>
      </c>
      <c r="B13" s="4">
        <v>100006</v>
      </c>
      <c r="C13" s="4" t="s">
        <v>28</v>
      </c>
      <c r="D13" s="5">
        <v>692</v>
      </c>
      <c r="E13" s="4" t="s">
        <v>11</v>
      </c>
      <c r="F13" s="4" t="s">
        <v>9</v>
      </c>
      <c r="G13" s="4">
        <v>29</v>
      </c>
      <c r="H13" s="9">
        <v>213952</v>
      </c>
      <c r="I13" s="4" t="str">
        <f>IF(Sheet1!G7&gt;50,"Above 50",IF(Sheet1!G7&gt;40,"Above 40",IF(Sheet1!G7&gt;30,"Above 30",IF(Sheet1!G7&gt;20,"Above 20",IF(Sheet1!G7&gt;10,"Above 10","Below10")))))</f>
        <v>Above 50</v>
      </c>
      <c r="N13">
        <v>15</v>
      </c>
    </row>
    <row r="14" spans="1:29" x14ac:dyDescent="0.25">
      <c r="A14" s="4">
        <v>1</v>
      </c>
      <c r="B14" s="4">
        <v>100001</v>
      </c>
      <c r="C14" s="4" t="s">
        <v>7</v>
      </c>
      <c r="D14" s="5">
        <v>729</v>
      </c>
      <c r="E14" s="4" t="s">
        <v>11</v>
      </c>
      <c r="F14" s="4" t="s">
        <v>9</v>
      </c>
      <c r="G14" s="4">
        <v>19</v>
      </c>
      <c r="H14" s="9">
        <v>-194164</v>
      </c>
      <c r="I14" s="4" t="str">
        <f>IF(Sheet1!G2&gt;50,"Above 50",IF(Sheet1!G2&gt;40,"Above 40",IF(Sheet1!G2&gt;30,"Above 30",IF(Sheet1!G2&gt;20,"Above 20",IF(Sheet1!G2&gt;10,"Above 10","Below10")))))</f>
        <v>Above 10</v>
      </c>
      <c r="N14">
        <v>16</v>
      </c>
    </row>
    <row r="15" spans="1:29" x14ac:dyDescent="0.25">
      <c r="A15" s="4">
        <v>2</v>
      </c>
      <c r="B15" s="4">
        <v>100002</v>
      </c>
      <c r="C15" s="4" t="s">
        <v>20</v>
      </c>
      <c r="D15" s="5">
        <v>744</v>
      </c>
      <c r="E15" s="4" t="s">
        <v>8</v>
      </c>
      <c r="F15" s="4" t="s">
        <v>12</v>
      </c>
      <c r="G15" s="4">
        <v>53</v>
      </c>
      <c r="H15" s="9">
        <v>0</v>
      </c>
      <c r="I15" s="4" t="str">
        <f>IF(Sheet1!G3&gt;50,"Above 50",IF(Sheet1!G3&gt;40,"Above 40",IF(Sheet1!G3&gt;30,"Above 30",IF(Sheet1!G3&gt;20,"Above 20",IF(Sheet1!G3&gt;10,"Above 10","Below10")))))</f>
        <v>Above 40</v>
      </c>
      <c r="N15">
        <v>17</v>
      </c>
    </row>
    <row r="16" spans="1:29" x14ac:dyDescent="0.25">
      <c r="A16" s="4">
        <v>3</v>
      </c>
      <c r="B16" s="4">
        <v>100003</v>
      </c>
      <c r="C16" s="4" t="s">
        <v>29</v>
      </c>
      <c r="D16" s="5">
        <v>789</v>
      </c>
      <c r="E16" s="4" t="s">
        <v>16</v>
      </c>
      <c r="F16" s="4" t="s">
        <v>9</v>
      </c>
      <c r="G16" s="4">
        <v>30</v>
      </c>
      <c r="H16" s="9">
        <v>178650</v>
      </c>
      <c r="I16" s="4" t="str">
        <f>IF(Sheet1!G4&gt;50,"Above 50",IF(Sheet1!G4&gt;40,"Above 40",IF(Sheet1!G4&gt;30,"Above 30",IF(Sheet1!G4&gt;20,"Above 20",IF(Sheet1!G4&gt;10,"Above 10","Below10")))))</f>
        <v>Above 40</v>
      </c>
    </row>
    <row r="17" spans="1:18" x14ac:dyDescent="0.25">
      <c r="A17" s="4">
        <v>12</v>
      </c>
      <c r="B17" s="4">
        <v>100012</v>
      </c>
      <c r="C17" s="4" t="s">
        <v>22</v>
      </c>
      <c r="D17" s="5">
        <v>797</v>
      </c>
      <c r="E17" s="4" t="s">
        <v>11</v>
      </c>
      <c r="F17" s="4" t="s">
        <v>9</v>
      </c>
      <c r="G17" s="5">
        <v>27</v>
      </c>
      <c r="H17" s="9">
        <v>68503</v>
      </c>
      <c r="I17" s="4" t="str">
        <f>IF(Sheet1!G13&gt;50,"Above 50",IF(Sheet1!G13&gt;40,"Above 40",IF(Sheet1!G13&gt;30,"Above 30",IF(Sheet1!G13&gt;20,"Above 20",IF(Sheet1!G13&gt;10,"Above 10","Below10")))))</f>
        <v>Above 20</v>
      </c>
      <c r="N17">
        <v>56</v>
      </c>
      <c r="R17" s="6"/>
    </row>
    <row r="18" spans="1:18" x14ac:dyDescent="0.25">
      <c r="A18" s="4">
        <v>14</v>
      </c>
      <c r="B18" s="4">
        <v>100014</v>
      </c>
      <c r="C18" s="4" t="s">
        <v>15</v>
      </c>
      <c r="D18" s="5">
        <v>803</v>
      </c>
      <c r="E18" s="4" t="s">
        <v>14</v>
      </c>
      <c r="F18" s="4" t="s">
        <v>12</v>
      </c>
      <c r="G18" s="5">
        <v>28</v>
      </c>
      <c r="H18" s="9">
        <v>164365</v>
      </c>
      <c r="I18" s="4" t="str">
        <f>IF(Sheet1!G15&gt;50,"Above 50",IF(Sheet1!G15&gt;40,"Above 40",IF(Sheet1!G15&gt;30,"Above 30",IF(Sheet1!G15&gt;20,"Above 20",IF(Sheet1!G15&gt;10,"Above 10","Below10")))))</f>
        <v>Above 50</v>
      </c>
    </row>
    <row r="25" spans="1:18" x14ac:dyDescent="0.25">
      <c r="K25" t="s">
        <v>47</v>
      </c>
      <c r="L25" t="s">
        <v>48</v>
      </c>
    </row>
    <row r="28" spans="1:18" x14ac:dyDescent="0.25">
      <c r="A28" t="s">
        <v>0</v>
      </c>
      <c r="B28" t="s">
        <v>1</v>
      </c>
      <c r="C28" t="s">
        <v>36</v>
      </c>
      <c r="D28" t="s">
        <v>2</v>
      </c>
      <c r="E28" t="s">
        <v>3</v>
      </c>
      <c r="F28" t="s">
        <v>4</v>
      </c>
      <c r="G28" t="s">
        <v>5</v>
      </c>
      <c r="H28" t="s">
        <v>6</v>
      </c>
      <c r="I28" t="s">
        <v>34</v>
      </c>
      <c r="J28" t="s">
        <v>42</v>
      </c>
      <c r="K28" s="10" t="s">
        <v>44</v>
      </c>
      <c r="L28" s="10"/>
    </row>
    <row r="29" spans="1:18" x14ac:dyDescent="0.25">
      <c r="A29">
        <v>14</v>
      </c>
      <c r="B29">
        <v>100014</v>
      </c>
      <c r="C29" t="s">
        <v>26</v>
      </c>
      <c r="D29" s="1">
        <v>803</v>
      </c>
      <c r="E29" t="s">
        <v>11</v>
      </c>
      <c r="F29" t="s">
        <v>12</v>
      </c>
      <c r="G29" s="1">
        <v>28</v>
      </c>
      <c r="H29" s="8">
        <v>164365</v>
      </c>
      <c r="I29" t="s">
        <v>37</v>
      </c>
      <c r="J29" t="e">
        <f>D29/0</f>
        <v>#DIV/0!</v>
      </c>
      <c r="K29" t="s">
        <v>43</v>
      </c>
      <c r="L29" t="s">
        <v>45</v>
      </c>
      <c r="O29" t="s">
        <v>46</v>
      </c>
    </row>
    <row r="30" spans="1:18" x14ac:dyDescent="0.25">
      <c r="A30">
        <v>5</v>
      </c>
      <c r="B30">
        <v>100005</v>
      </c>
      <c r="C30" t="s">
        <v>17</v>
      </c>
      <c r="D30" s="1">
        <v>591</v>
      </c>
      <c r="E30" t="s">
        <v>8</v>
      </c>
      <c r="F30" t="s">
        <v>12</v>
      </c>
      <c r="G30">
        <v>28</v>
      </c>
      <c r="H30" s="8">
        <v>156201</v>
      </c>
      <c r="I30" t="s">
        <v>38</v>
      </c>
      <c r="J30" t="e">
        <f>D30/0</f>
        <v>#DIV/0!</v>
      </c>
      <c r="O30">
        <v>10</v>
      </c>
    </row>
    <row r="31" spans="1:18" x14ac:dyDescent="0.25">
      <c r="A31">
        <v>15</v>
      </c>
      <c r="B31">
        <v>100015</v>
      </c>
      <c r="C31" t="s">
        <v>27</v>
      </c>
      <c r="D31" s="1">
        <v>442</v>
      </c>
      <c r="E31" t="s">
        <v>14</v>
      </c>
      <c r="F31" t="s">
        <v>9</v>
      </c>
      <c r="G31" s="1">
        <v>22</v>
      </c>
      <c r="H31" s="8">
        <v>180396</v>
      </c>
      <c r="I31" t="s">
        <v>41</v>
      </c>
      <c r="O31">
        <v>10</v>
      </c>
    </row>
    <row r="32" spans="1:18" x14ac:dyDescent="0.25">
      <c r="A32">
        <v>8</v>
      </c>
      <c r="B32">
        <v>100008</v>
      </c>
      <c r="C32" t="s">
        <v>20</v>
      </c>
      <c r="D32" s="1">
        <v>416</v>
      </c>
      <c r="E32" t="s">
        <v>16</v>
      </c>
      <c r="F32" t="s">
        <v>9</v>
      </c>
      <c r="G32">
        <v>46</v>
      </c>
      <c r="H32" s="8">
        <v>57283</v>
      </c>
      <c r="I32" t="s">
        <v>37</v>
      </c>
      <c r="O32">
        <v>10</v>
      </c>
      <c r="Q32">
        <v>23</v>
      </c>
    </row>
    <row r="33" spans="1:15" x14ac:dyDescent="0.25">
      <c r="A33">
        <v>3</v>
      </c>
      <c r="B33">
        <v>100003</v>
      </c>
      <c r="C33" t="s">
        <v>13</v>
      </c>
      <c r="D33" s="1">
        <v>789</v>
      </c>
      <c r="E33" t="s">
        <v>14</v>
      </c>
      <c r="F33" t="s">
        <v>9</v>
      </c>
      <c r="G33">
        <v>30</v>
      </c>
      <c r="H33" s="8">
        <v>178650</v>
      </c>
      <c r="I33" t="s">
        <v>38</v>
      </c>
      <c r="O33">
        <v>10</v>
      </c>
    </row>
    <row r="34" spans="1:15" x14ac:dyDescent="0.25">
      <c r="A34">
        <v>10</v>
      </c>
      <c r="B34">
        <v>100010</v>
      </c>
      <c r="C34" t="s">
        <v>22</v>
      </c>
      <c r="D34" s="1">
        <v>476</v>
      </c>
      <c r="E34" t="s">
        <v>11</v>
      </c>
      <c r="F34" t="s">
        <v>12</v>
      </c>
      <c r="G34">
        <v>39</v>
      </c>
      <c r="H34" s="8">
        <v>260233</v>
      </c>
      <c r="I34" t="s">
        <v>38</v>
      </c>
      <c r="O34">
        <v>10</v>
      </c>
    </row>
    <row r="35" spans="1:15" x14ac:dyDescent="0.25">
      <c r="A35">
        <v>16</v>
      </c>
      <c r="B35">
        <v>100016</v>
      </c>
      <c r="C35" t="s">
        <v>28</v>
      </c>
      <c r="D35" s="1">
        <v>407</v>
      </c>
      <c r="E35" t="s">
        <v>16</v>
      </c>
      <c r="F35" t="s">
        <v>9</v>
      </c>
      <c r="G35" s="1">
        <v>42</v>
      </c>
      <c r="H35" s="8">
        <v>13669</v>
      </c>
      <c r="I35" t="s">
        <v>38</v>
      </c>
      <c r="O35">
        <v>10</v>
      </c>
    </row>
    <row r="36" spans="1:15" x14ac:dyDescent="0.25">
      <c r="A36">
        <v>1</v>
      </c>
      <c r="B36">
        <v>100001</v>
      </c>
      <c r="C36" t="s">
        <v>7</v>
      </c>
      <c r="D36" s="1">
        <v>729</v>
      </c>
      <c r="E36" t="s">
        <v>8</v>
      </c>
      <c r="F36" t="s">
        <v>9</v>
      </c>
      <c r="G36">
        <v>19</v>
      </c>
      <c r="H36" s="8">
        <v>-194164</v>
      </c>
      <c r="I36" t="s">
        <v>38</v>
      </c>
      <c r="O36">
        <v>10</v>
      </c>
    </row>
    <row r="37" spans="1:15" x14ac:dyDescent="0.25">
      <c r="A37">
        <v>6</v>
      </c>
      <c r="B37">
        <v>100006</v>
      </c>
      <c r="C37" t="s">
        <v>18</v>
      </c>
      <c r="D37" s="1">
        <v>692</v>
      </c>
      <c r="E37" t="s">
        <v>11</v>
      </c>
      <c r="F37" t="s">
        <v>9</v>
      </c>
      <c r="G37">
        <v>29</v>
      </c>
      <c r="H37" s="8">
        <v>213952</v>
      </c>
      <c r="I37" t="s">
        <v>39</v>
      </c>
      <c r="O37">
        <v>10</v>
      </c>
    </row>
    <row r="38" spans="1:15" x14ac:dyDescent="0.25">
      <c r="A38">
        <v>12</v>
      </c>
      <c r="B38">
        <v>100012</v>
      </c>
      <c r="C38" t="s">
        <v>24</v>
      </c>
      <c r="D38" s="1">
        <v>797</v>
      </c>
      <c r="E38" t="s">
        <v>16</v>
      </c>
      <c r="F38" t="s">
        <v>9</v>
      </c>
      <c r="G38" s="1">
        <v>27</v>
      </c>
      <c r="H38" s="8">
        <v>68503</v>
      </c>
      <c r="I38" t="s">
        <v>40</v>
      </c>
    </row>
    <row r="39" spans="1:15" x14ac:dyDescent="0.25">
      <c r="A39">
        <v>17</v>
      </c>
      <c r="B39">
        <v>100017</v>
      </c>
      <c r="C39" t="s">
        <v>29</v>
      </c>
      <c r="D39" s="1">
        <v>472</v>
      </c>
      <c r="E39" t="s">
        <v>8</v>
      </c>
      <c r="F39" t="s">
        <v>9</v>
      </c>
      <c r="G39" s="1">
        <v>51</v>
      </c>
      <c r="H39" s="8">
        <v>18758</v>
      </c>
      <c r="I39" t="s">
        <v>40</v>
      </c>
    </row>
    <row r="40" spans="1:15" x14ac:dyDescent="0.25">
      <c r="A40">
        <v>2</v>
      </c>
      <c r="B40">
        <v>100002</v>
      </c>
      <c r="C40" t="s">
        <v>10</v>
      </c>
      <c r="D40" s="1">
        <v>744</v>
      </c>
      <c r="E40" t="s">
        <v>11</v>
      </c>
      <c r="F40" t="s">
        <v>12</v>
      </c>
      <c r="G40">
        <v>53</v>
      </c>
      <c r="H40" s="8">
        <v>0</v>
      </c>
      <c r="I40" t="s">
        <v>38</v>
      </c>
    </row>
    <row r="41" spans="1:15" x14ac:dyDescent="0.25">
      <c r="A41">
        <v>13</v>
      </c>
      <c r="B41">
        <v>100013</v>
      </c>
      <c r="C41" t="s">
        <v>25</v>
      </c>
      <c r="D41" s="1">
        <v>493</v>
      </c>
      <c r="E41" t="s">
        <v>8</v>
      </c>
      <c r="F41" t="s">
        <v>12</v>
      </c>
      <c r="G41" s="1">
        <v>34</v>
      </c>
      <c r="H41" s="8">
        <v>22604</v>
      </c>
      <c r="I41" t="s">
        <v>39</v>
      </c>
    </row>
    <row r="42" spans="1:15" x14ac:dyDescent="0.25">
      <c r="A42">
        <v>9</v>
      </c>
      <c r="B42">
        <v>100009</v>
      </c>
      <c r="C42" t="s">
        <v>21</v>
      </c>
      <c r="D42" s="1">
        <v>368</v>
      </c>
      <c r="E42" t="s">
        <v>8</v>
      </c>
      <c r="F42" t="s">
        <v>12</v>
      </c>
      <c r="G42">
        <v>18</v>
      </c>
      <c r="H42" s="8">
        <v>227626</v>
      </c>
      <c r="I42" t="s">
        <v>38</v>
      </c>
    </row>
    <row r="43" spans="1:15" x14ac:dyDescent="0.25">
      <c r="A43">
        <v>4</v>
      </c>
      <c r="B43">
        <v>100004</v>
      </c>
      <c r="C43" t="s">
        <v>15</v>
      </c>
      <c r="D43" s="1">
        <v>576</v>
      </c>
      <c r="E43" t="s">
        <v>16</v>
      </c>
      <c r="F43" t="s">
        <v>9</v>
      </c>
      <c r="G43">
        <v>0</v>
      </c>
      <c r="H43" s="8">
        <v>25710</v>
      </c>
      <c r="I43" t="s">
        <v>35</v>
      </c>
    </row>
    <row r="44" spans="1:15" x14ac:dyDescent="0.25">
      <c r="A44">
        <v>11</v>
      </c>
      <c r="B44">
        <v>100011</v>
      </c>
      <c r="C44" t="s">
        <v>23</v>
      </c>
      <c r="D44" s="1">
        <v>574</v>
      </c>
      <c r="E44" t="s">
        <v>14</v>
      </c>
      <c r="F44" t="s">
        <v>9</v>
      </c>
      <c r="G44">
        <v>30</v>
      </c>
      <c r="H44" s="8">
        <v>168272</v>
      </c>
      <c r="I44" t="s">
        <v>40</v>
      </c>
    </row>
    <row r="45" spans="1:15" x14ac:dyDescent="0.25">
      <c r="A45">
        <v>7</v>
      </c>
      <c r="B45">
        <v>100007</v>
      </c>
      <c r="C45" t="s">
        <v>19</v>
      </c>
      <c r="D45" s="1">
        <v>437</v>
      </c>
      <c r="E45" t="s">
        <v>14</v>
      </c>
      <c r="F45" t="s">
        <v>12</v>
      </c>
      <c r="G45">
        <v>58</v>
      </c>
      <c r="H45" s="8">
        <v>176103</v>
      </c>
      <c r="I45" t="s">
        <v>35</v>
      </c>
    </row>
  </sheetData>
  <scenarios current="1" show="1">
    <scenario name="Capstone95" locked="1" count="1" user="MITS" comment="Created by MITS on 08-06-2026">
      <inputCells r="Y5" val="83.75"/>
    </scenario>
    <scenario name="cap80" locked="1" count="1" user="MITS" comment="Created by MITS on 08-06-2026">
      <inputCells r="X6" val="80"/>
    </scenario>
  </scenarios>
  <sortState xmlns:xlrd2="http://schemas.microsoft.com/office/spreadsheetml/2017/richdata2" ref="A2:I18">
    <sortCondition ref="D2:D18"/>
  </sortState>
  <mergeCells count="1">
    <mergeCell ref="K28:L28"/>
  </mergeCells>
  <dataValidations count="10">
    <dataValidation type="whole" allowBlank="1" showInputMessage="1" showErrorMessage="1" sqref="L29" xr:uid="{546BED43-34DF-4BE4-9214-D5CB41F7C324}">
      <formula1>10</formula1>
      <formula2>20</formula2>
    </dataValidation>
    <dataValidation errorStyle="warning" allowBlank="1" showInputMessage="1" showErrorMessage="1" errorTitle="This is name column" error="Error" sqref="K29" xr:uid="{1C0609A7-09DE-44A8-8A78-C8D4B104974B}"/>
    <dataValidation allowBlank="1" showInputMessage="1" showErrorMessage="1" promptTitle="This is Name column" prompt="Enter name" sqref="N33" xr:uid="{058CA9AA-A187-47FF-AD0A-3B43B2A1D2CC}"/>
    <dataValidation type="whole" operator="equal" allowBlank="1" showInputMessage="1" showErrorMessage="1" sqref="O30:O37" xr:uid="{F53239A1-BD77-47D1-B5DE-2D260D0B9D30}">
      <formula1>10</formula1>
    </dataValidation>
    <dataValidation type="list" operator="equal" showInputMessage="1" showErrorMessage="1" sqref="Q32" xr:uid="{38231F88-22DE-4D25-B26E-69CDC6C08B09}">
      <formula1>"23"</formula1>
    </dataValidation>
    <dataValidation type="list" allowBlank="1" showInputMessage="1" showErrorMessage="1" sqref="E2:E18" xr:uid="{2544B629-4ECF-4861-AE0F-6E2E8D69C296}">
      <formula1>"India"</formula1>
    </dataValidation>
    <dataValidation type="whole" allowBlank="1" showInputMessage="1" showErrorMessage="1" sqref="D29:D44" xr:uid="{7B3CDECA-E4E7-498B-957A-6CBDF393DEFA}">
      <formula1>500</formula1>
      <formula2>700</formula2>
    </dataValidation>
    <dataValidation type="whole" allowBlank="1" showInputMessage="1" showErrorMessage="1" errorTitle="Error" error="Stop" sqref="N17" xr:uid="{B0F20B4D-7307-49F3-84AF-3ABA0D21C537}">
      <formula1>10</formula1>
      <formula2>20</formula2>
    </dataValidation>
    <dataValidation type="list" allowBlank="1" showInputMessage="1" showErrorMessage="1" sqref="F2:F18" xr:uid="{29A1C34F-FFED-48F0-A442-C0B176C42AB3}">
      <formula1>"Male"</formula1>
    </dataValidation>
    <dataValidation type="whole" errorStyle="warning" allowBlank="1" showInputMessage="1" showErrorMessage="1" errorTitle="Error" error="Enter valid number" promptTitle="Number" prompt="Enter integer in between 10 and 20" sqref="N7:N15" xr:uid="{12FF6A47-5A35-425F-86FE-5DAB496B59BA}">
      <formula1>10</formula1>
      <formula2>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23691A3354@mits.com</cp:lastModifiedBy>
  <dcterms:created xsi:type="dcterms:W3CDTF">2026-06-06T07:00:04Z</dcterms:created>
  <dcterms:modified xsi:type="dcterms:W3CDTF">2026-06-08T09:20:10Z</dcterms:modified>
</cp:coreProperties>
</file>