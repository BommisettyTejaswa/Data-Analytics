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4\"/>
    </mc:Choice>
  </mc:AlternateContent>
  <xr:revisionPtr revIDLastSave="0" documentId="13_ncr:1_{444C2319-FAEA-463A-9F71-430C144F9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1" l="1"/>
  <c r="AH5" i="1"/>
  <c r="AN6" i="1"/>
  <c r="AO5" i="1"/>
  <c r="AN5" i="1"/>
  <c r="AP6" i="1"/>
  <c r="AO6" i="1"/>
  <c r="AP5" i="1"/>
  <c r="AK4" i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3" i="1"/>
  <c r="AI6" i="1"/>
  <c r="AH8" i="1"/>
  <c r="AI5" i="1"/>
  <c r="AD4" i="1"/>
  <c r="AD5" i="1"/>
  <c r="AD6" i="1"/>
  <c r="AD7" i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3" i="1"/>
  <c r="Z7" i="1"/>
  <c r="Z5" i="1"/>
  <c r="AB4" i="1"/>
  <c r="AB5" i="1" s="1"/>
  <c r="AA5" i="1"/>
  <c r="AA4" i="1"/>
  <c r="Z4" i="1"/>
  <c r="V4" i="1"/>
  <c r="V5" i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3" i="1"/>
  <c r="N12" i="1"/>
  <c r="O10" i="1"/>
  <c r="N10" i="1"/>
  <c r="S7" i="1"/>
  <c r="R7" i="1"/>
  <c r="Q7" i="1"/>
  <c r="P7" i="1"/>
  <c r="O7" i="1"/>
  <c r="S5" i="1"/>
  <c r="R5" i="1"/>
  <c r="Q5" i="1"/>
  <c r="P5" i="1"/>
  <c r="O5" i="1"/>
  <c r="N5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4" i="1"/>
  <c r="K5" i="1"/>
  <c r="K6" i="1"/>
  <c r="K7" i="1"/>
  <c r="K8" i="1"/>
  <c r="K9" i="1"/>
  <c r="K10" i="1"/>
  <c r="K11" i="1"/>
  <c r="K3" i="1"/>
  <c r="H16" i="1"/>
  <c r="H15" i="1"/>
  <c r="H14" i="1"/>
  <c r="H13" i="1"/>
  <c r="F16" i="1"/>
  <c r="F15" i="1"/>
  <c r="F14" i="1"/>
  <c r="F13" i="1"/>
  <c r="H10" i="1"/>
  <c r="H9" i="1"/>
  <c r="H6" i="1"/>
  <c r="H5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4" i="1"/>
  <c r="A5" i="1"/>
  <c r="A6" i="1"/>
  <c r="A7" i="1"/>
  <c r="A8" i="1"/>
  <c r="A9" i="1"/>
  <c r="A3" i="1"/>
  <c r="N7" i="1" l="1"/>
</calcChain>
</file>

<file path=xl/sharedStrings.xml><?xml version="1.0" encoding="utf-8"?>
<sst xmlns="http://schemas.openxmlformats.org/spreadsheetml/2006/main" count="551" uniqueCount="55">
  <si>
    <t>Trail No</t>
  </si>
  <si>
    <t>Result</t>
  </si>
  <si>
    <t>Tail</t>
  </si>
  <si>
    <t>Head</t>
  </si>
  <si>
    <t>count Head</t>
  </si>
  <si>
    <t>count Tail</t>
  </si>
  <si>
    <t>Probability of head</t>
  </si>
  <si>
    <t>Probability of  tail</t>
  </si>
  <si>
    <t>Probability of head,head</t>
  </si>
  <si>
    <t>Probability of tail,tail</t>
  </si>
  <si>
    <t>Probability of head,tail</t>
  </si>
  <si>
    <t>Probability of tail,head</t>
  </si>
  <si>
    <t>count of head,head</t>
  </si>
  <si>
    <t>count of tail,tail</t>
  </si>
  <si>
    <t>count of head,tail</t>
  </si>
  <si>
    <t>count of tail,head</t>
  </si>
  <si>
    <t>Trail</t>
  </si>
  <si>
    <t>Roll</t>
  </si>
  <si>
    <t>count of getting 6</t>
  </si>
  <si>
    <t>count of getting 5</t>
  </si>
  <si>
    <t>count of getting 4</t>
  </si>
  <si>
    <t>count of getting 3</t>
  </si>
  <si>
    <t>count of getting 2</t>
  </si>
  <si>
    <t>count of getting 1</t>
  </si>
  <si>
    <t>probability of getting 6</t>
  </si>
  <si>
    <t>probability of getting 5</t>
  </si>
  <si>
    <t>probability of getting 4</t>
  </si>
  <si>
    <t>probability of getting 3</t>
  </si>
  <si>
    <t>probability of getting 2</t>
  </si>
  <si>
    <t>probability of getting 1</t>
  </si>
  <si>
    <t>probability of getting 4 + probability of getting 2</t>
  </si>
  <si>
    <t>Name</t>
  </si>
  <si>
    <t>Gender</t>
  </si>
  <si>
    <t>Male</t>
  </si>
  <si>
    <t>Female</t>
  </si>
  <si>
    <t>Circket</t>
  </si>
  <si>
    <t>Yes</t>
  </si>
  <si>
    <t>No</t>
  </si>
  <si>
    <t>Probability of gender = "Male"</t>
  </si>
  <si>
    <t>Probability of  cricket= "Yes"</t>
  </si>
  <si>
    <t>PROBABILITY OF GETTING="gender" MALES AND CIRCKET="YES"</t>
  </si>
  <si>
    <t>Probality of males who play circket</t>
  </si>
  <si>
    <t>Coin</t>
  </si>
  <si>
    <t>Die</t>
  </si>
  <si>
    <t>H</t>
  </si>
  <si>
    <t>T</t>
  </si>
  <si>
    <t>probability of getting T and 6</t>
  </si>
  <si>
    <t>Probability of getting of T</t>
  </si>
  <si>
    <t>Probability of getting of 6</t>
  </si>
  <si>
    <t>Student id</t>
  </si>
  <si>
    <t>Student Marks</t>
  </si>
  <si>
    <t>count of &lt;=70</t>
  </si>
  <si>
    <t>count &lt;=60</t>
  </si>
  <si>
    <t>count&lt;=50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</si>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</sst>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C1" workbookViewId="0">
      <selection activeCell="AH7" sqref="AH7:AI7"/>
    </sheetView>
  </sheetViews>
  <sheetFormatPr defaultRowHeight="15" x14ac:dyDescent="0.25"/>
  <cols>
    <col min="1" max="1" width="8.7109375" customWidth="1"/>
    <col min="2" max="2" width="9.7109375" customWidth="1"/>
    <col min="3" max="3" width="11.28515625" customWidth="1"/>
    <col min="5" max="5" width="20.140625" customWidth="1"/>
    <col min="7" max="7" width="23.85546875" customWidth="1"/>
    <col min="14" max="14" width="21" customWidth="1"/>
    <col min="15" max="15" width="20.7109375" customWidth="1"/>
    <col min="16" max="16" width="21" customWidth="1"/>
    <col min="17" max="17" width="21.28515625" customWidth="1"/>
    <col min="18" max="18" width="21.42578125" customWidth="1"/>
    <col min="19" max="19" width="20.7109375" customWidth="1"/>
    <col min="26" max="26" width="31.42578125" customWidth="1"/>
    <col min="27" max="27" width="25.85546875" customWidth="1"/>
    <col min="28" max="28" width="56.140625" customWidth="1"/>
    <col min="32" max="32" width="12.5703125" customWidth="1"/>
    <col min="33" max="33" width="29.42578125" customWidth="1"/>
    <col min="34" max="34" width="25.28515625" customWidth="1"/>
    <col min="35" max="35" width="24" customWidth="1"/>
    <col min="37" max="37" width="10.7109375" customWidth="1"/>
    <col min="38" max="38" width="14.28515625" customWidth="1"/>
    <col min="40" max="40" width="13.140625" customWidth="1"/>
    <col min="41" max="41" width="12" customWidth="1"/>
    <col min="42" max="42" width="11.85546875" customWidth="1"/>
  </cols>
  <sheetData>
    <row r="1" spans="1:42" x14ac:dyDescent="0.25">
      <c r="A1" t="s">
        <v>0</v>
      </c>
      <c r="B1" t="s">
        <v>1</v>
      </c>
      <c r="C1" t="s">
        <v>1</v>
      </c>
      <c r="K1" t="s">
        <v>16</v>
      </c>
      <c r="L1" t="s">
        <v>17</v>
      </c>
      <c r="V1" t="s">
        <v>31</v>
      </c>
      <c r="W1" t="s">
        <v>32</v>
      </c>
      <c r="X1" t="s">
        <v>35</v>
      </c>
      <c r="AD1" t="s">
        <v>31</v>
      </c>
      <c r="AE1" t="s">
        <v>42</v>
      </c>
      <c r="AF1" t="s">
        <v>43</v>
      </c>
      <c r="AK1" t="s">
        <v>49</v>
      </c>
      <c r="AL1" t="s">
        <v>50</v>
      </c>
    </row>
    <row r="2" spans="1:42" x14ac:dyDescent="0.25">
      <c r="A2">
        <v>1</v>
      </c>
      <c r="B2" t="s">
        <v>2</v>
      </c>
      <c r="C2" t="s">
        <v>2</v>
      </c>
      <c r="K2">
        <v>1</v>
      </c>
      <c r="L2">
        <v>2</v>
      </c>
      <c r="V2">
        <v>1</v>
      </c>
      <c r="W2" t="s">
        <v>33</v>
      </c>
      <c r="X2" t="s">
        <v>36</v>
      </c>
      <c r="AD2">
        <v>1</v>
      </c>
      <c r="AE2" t="s">
        <v>44</v>
      </c>
      <c r="AF2">
        <v>5</v>
      </c>
      <c r="AK2">
        <v>1</v>
      </c>
      <c r="AL2">
        <v>93</v>
      </c>
    </row>
    <row r="3" spans="1:42" x14ac:dyDescent="0.25">
      <c r="A3">
        <f>A2+1</f>
        <v>2</v>
      </c>
      <c r="B3" t="s">
        <v>2</v>
      </c>
      <c r="C3" t="s">
        <v>3</v>
      </c>
      <c r="K3">
        <f>1+K2</f>
        <v>2</v>
      </c>
      <c r="L3">
        <v>3</v>
      </c>
      <c r="V3">
        <f>1+V2</f>
        <v>2</v>
      </c>
      <c r="W3" t="s">
        <v>34</v>
      </c>
      <c r="X3" t="s">
        <v>36</v>
      </c>
      <c r="Z3" t="s">
        <v>38</v>
      </c>
      <c r="AA3" t="s">
        <v>39</v>
      </c>
      <c r="AB3" t="s">
        <v>40</v>
      </c>
      <c r="AD3">
        <f>1+AD2</f>
        <v>2</v>
      </c>
      <c r="AE3" t="s">
        <v>44</v>
      </c>
      <c r="AF3">
        <v>3</v>
      </c>
      <c r="AK3">
        <f>1+AK2</f>
        <v>2</v>
      </c>
      <c r="AL3">
        <v>16</v>
      </c>
    </row>
    <row r="4" spans="1:42" x14ac:dyDescent="0.25">
      <c r="A4">
        <f t="shared" ref="A4:A67" si="0">A3+1</f>
        <v>3</v>
      </c>
      <c r="B4" t="s">
        <v>3</v>
      </c>
      <c r="C4" t="s">
        <v>2</v>
      </c>
      <c r="K4">
        <f t="shared" ref="K4:K67" si="1">1+K3</f>
        <v>3</v>
      </c>
      <c r="L4">
        <v>6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V4">
        <f t="shared" ref="V4:V67" si="2">1+V3</f>
        <v>3</v>
      </c>
      <c r="W4" t="s">
        <v>33</v>
      </c>
      <c r="X4" t="s">
        <v>37</v>
      </c>
      <c r="Z4">
        <f>COUNTIF(W:W,"Male")</f>
        <v>45</v>
      </c>
      <c r="AA4">
        <f>COUNTIF(X:X,"Yes")</f>
        <v>53</v>
      </c>
      <c r="AB4">
        <f>COUNTIFS(W:W,"Male",X:X,"Yes")</f>
        <v>25</v>
      </c>
      <c r="AD4">
        <f t="shared" ref="AD4:AD67" si="3">1+AD3</f>
        <v>3</v>
      </c>
      <c r="AE4" t="s">
        <v>44</v>
      </c>
      <c r="AF4">
        <v>5</v>
      </c>
      <c r="AH4" t="s">
        <v>47</v>
      </c>
      <c r="AI4" t="s">
        <v>48</v>
      </c>
      <c r="AK4">
        <f t="shared" ref="AK4:AK67" si="4">1+AK3</f>
        <v>3</v>
      </c>
      <c r="AL4">
        <v>28</v>
      </c>
      <c r="AN4" t="s">
        <v>51</v>
      </c>
      <c r="AO4" t="s">
        <v>52</v>
      </c>
      <c r="AP4" t="s">
        <v>53</v>
      </c>
    </row>
    <row r="5" spans="1:42" x14ac:dyDescent="0.25">
      <c r="A5">
        <f t="shared" si="0"/>
        <v>4</v>
      </c>
      <c r="B5" t="s">
        <v>2</v>
      </c>
      <c r="C5" t="s">
        <v>3</v>
      </c>
      <c r="G5" t="s">
        <v>4</v>
      </c>
      <c r="H5">
        <f>COUNTIF(B:B,"Head")</f>
        <v>52</v>
      </c>
      <c r="K5">
        <f t="shared" si="1"/>
        <v>4</v>
      </c>
      <c r="L5">
        <v>2</v>
      </c>
      <c r="N5">
        <f>COUNTIF(L:L,6)</f>
        <v>11</v>
      </c>
      <c r="O5">
        <f>COUNTIF(L:L,5)</f>
        <v>16</v>
      </c>
      <c r="P5">
        <f>COUNTIF(L:L,4)</f>
        <v>14</v>
      </c>
      <c r="Q5">
        <f>COUNTIF(L:L,3)</f>
        <v>20</v>
      </c>
      <c r="R5">
        <f>COUNTIF(L:L,2)</f>
        <v>21</v>
      </c>
      <c r="S5">
        <f>COUNTIF(L:L,1)</f>
        <v>18</v>
      </c>
      <c r="V5">
        <f t="shared" si="2"/>
        <v>4</v>
      </c>
      <c r="W5" t="s">
        <v>34</v>
      </c>
      <c r="X5" t="s">
        <v>36</v>
      </c>
      <c r="Z5">
        <f>Z4/100</f>
        <v>0.45</v>
      </c>
      <c r="AA5">
        <f>AA4/100</f>
        <v>0.53</v>
      </c>
      <c r="AB5">
        <f>AB4/100</f>
        <v>0.25</v>
      </c>
      <c r="AD5">
        <f t="shared" si="3"/>
        <v>4</v>
      </c>
      <c r="AE5" t="s">
        <v>45</v>
      </c>
      <c r="AF5">
        <v>5</v>
      </c>
      <c r="AH5">
        <f>COUNTIF(AE:AE,"T")</f>
        <v>58</v>
      </c>
      <c r="AI5">
        <f>COUNTIF(AF:AF,6)</f>
        <v>18</v>
      </c>
      <c r="AK5">
        <f t="shared" si="4"/>
        <v>4</v>
      </c>
      <c r="AL5">
        <v>34</v>
      </c>
      <c r="AN5">
        <f>COUNTIF(AL:AL,"&lt;=70")</f>
        <v>75</v>
      </c>
      <c r="AO5">
        <f>COUNTIF(AL:AL,"&lt;=60")</f>
        <v>67</v>
      </c>
      <c r="AP5">
        <f>COUNTIF(AL:AL,"&lt;=50")</f>
        <v>59</v>
      </c>
    </row>
    <row r="6" spans="1:42" x14ac:dyDescent="0.25">
      <c r="A6">
        <f t="shared" si="0"/>
        <v>5</v>
      </c>
      <c r="B6" t="s">
        <v>3</v>
      </c>
      <c r="C6" t="s">
        <v>2</v>
      </c>
      <c r="G6" t="s">
        <v>5</v>
      </c>
      <c r="H6">
        <f>COUNTIF(B:B,"Tail")</f>
        <v>48</v>
      </c>
      <c r="K6">
        <f t="shared" si="1"/>
        <v>5</v>
      </c>
      <c r="L6">
        <v>4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V6">
        <f t="shared" si="2"/>
        <v>5</v>
      </c>
      <c r="W6" t="s">
        <v>34</v>
      </c>
      <c r="X6" t="s">
        <v>37</v>
      </c>
      <c r="Z6" t="s">
        <v>41</v>
      </c>
      <c r="AD6">
        <f t="shared" si="3"/>
        <v>5</v>
      </c>
      <c r="AE6" t="s">
        <v>45</v>
      </c>
      <c r="AF6">
        <v>4</v>
      </c>
      <c r="AH6">
        <f>AH5/100</f>
        <v>0.57999999999999996</v>
      </c>
      <c r="AI6">
        <f>AI5/100</f>
        <v>0.18</v>
      </c>
      <c r="AK6">
        <f t="shared" si="4"/>
        <v>5</v>
      </c>
      <c r="AL6">
        <v>6</v>
      </c>
      <c r="AN6">
        <f>AN5/100</f>
        <v>0.75</v>
      </c>
      <c r="AO6">
        <f>AO5/100</f>
        <v>0.67</v>
      </c>
      <c r="AP6">
        <f>AP5/100</f>
        <v>0.59</v>
      </c>
    </row>
    <row r="7" spans="1:42" x14ac:dyDescent="0.25">
      <c r="A7">
        <f t="shared" si="0"/>
        <v>6</v>
      </c>
      <c r="B7" t="s">
        <v>3</v>
      </c>
      <c r="C7" t="s">
        <v>2</v>
      </c>
      <c r="K7">
        <f t="shared" si="1"/>
        <v>6</v>
      </c>
      <c r="L7">
        <v>1</v>
      </c>
      <c r="N7">
        <f>N5/100</f>
        <v>0.11</v>
      </c>
      <c r="O7">
        <f>O5/100</f>
        <v>0.16</v>
      </c>
      <c r="P7">
        <f>P5/100</f>
        <v>0.14000000000000001</v>
      </c>
      <c r="Q7">
        <f>Q5/100</f>
        <v>0.2</v>
      </c>
      <c r="R7">
        <f>R5/100</f>
        <v>0.21</v>
      </c>
      <c r="S7">
        <f>S5/100</f>
        <v>0.18</v>
      </c>
      <c r="V7">
        <f t="shared" si="2"/>
        <v>6</v>
      </c>
      <c r="W7" t="s">
        <v>34</v>
      </c>
      <c r="X7" t="s">
        <v>36</v>
      </c>
      <c r="Z7">
        <f>Z5+AA5-AB5</f>
        <v>0.73</v>
      </c>
      <c r="AD7">
        <f t="shared" si="3"/>
        <v>6</v>
      </c>
      <c r="AE7" t="s">
        <v>44</v>
      </c>
      <c r="AF7">
        <v>5</v>
      </c>
      <c r="AH7" s="1" t="s">
        <v>46</v>
      </c>
      <c r="AI7" s="1"/>
      <c r="AK7">
        <f t="shared" si="4"/>
        <v>6</v>
      </c>
      <c r="AL7">
        <v>30</v>
      </c>
    </row>
    <row r="8" spans="1:42" x14ac:dyDescent="0.25">
      <c r="A8">
        <f t="shared" si="0"/>
        <v>7</v>
      </c>
      <c r="B8" t="s">
        <v>2</v>
      </c>
      <c r="C8" t="s">
        <v>3</v>
      </c>
      <c r="K8">
        <f t="shared" si="1"/>
        <v>7</v>
      </c>
      <c r="L8">
        <v>6</v>
      </c>
      <c r="V8">
        <f t="shared" si="2"/>
        <v>7</v>
      </c>
      <c r="W8" t="s">
        <v>33</v>
      </c>
      <c r="X8" t="s">
        <v>37</v>
      </c>
      <c r="AD8">
        <f t="shared" si="3"/>
        <v>7</v>
      </c>
      <c r="AE8" t="s">
        <v>45</v>
      </c>
      <c r="AF8">
        <v>1</v>
      </c>
      <c r="AH8" s="1">
        <f>(AH6*AI6)</f>
        <v>0.10439999999999999</v>
      </c>
      <c r="AI8" s="1"/>
      <c r="AK8">
        <f t="shared" si="4"/>
        <v>7</v>
      </c>
      <c r="AL8">
        <v>11</v>
      </c>
    </row>
    <row r="9" spans="1:42" x14ac:dyDescent="0.25">
      <c r="A9">
        <f t="shared" si="0"/>
        <v>8</v>
      </c>
      <c r="B9" t="s">
        <v>3</v>
      </c>
      <c r="C9" t="s">
        <v>3</v>
      </c>
      <c r="G9" t="s">
        <v>6</v>
      </c>
      <c r="H9">
        <f>H5/100</f>
        <v>0.52</v>
      </c>
      <c r="K9">
        <f t="shared" si="1"/>
        <v>8</v>
      </c>
      <c r="L9">
        <v>5</v>
      </c>
      <c r="N9" t="s">
        <v>26</v>
      </c>
      <c r="O9" t="s">
        <v>26</v>
      </c>
      <c r="V9">
        <f t="shared" si="2"/>
        <v>8</v>
      </c>
      <c r="W9" t="s">
        <v>34</v>
      </c>
      <c r="X9" t="s">
        <v>37</v>
      </c>
      <c r="AD9">
        <f t="shared" si="3"/>
        <v>8</v>
      </c>
      <c r="AE9" t="s">
        <v>45</v>
      </c>
      <c r="AF9">
        <v>6</v>
      </c>
      <c r="AK9">
        <f t="shared" si="4"/>
        <v>8</v>
      </c>
      <c r="AL9">
        <v>100</v>
      </c>
    </row>
    <row r="10" spans="1:42" x14ac:dyDescent="0.25">
      <c r="A10">
        <f t="shared" si="0"/>
        <v>9</v>
      </c>
      <c r="B10" t="s">
        <v>2</v>
      </c>
      <c r="C10" t="s">
        <v>3</v>
      </c>
      <c r="G10" t="s">
        <v>7</v>
      </c>
      <c r="H10">
        <f>H6/100</f>
        <v>0.48</v>
      </c>
      <c r="K10">
        <f t="shared" si="1"/>
        <v>9</v>
      </c>
      <c r="L10">
        <v>6</v>
      </c>
      <c r="N10">
        <f>(COUNTIF(L:L,2)/100)</f>
        <v>0.21</v>
      </c>
      <c r="O10">
        <f>(COUNTIF(L:L,4)/100)</f>
        <v>0.14000000000000001</v>
      </c>
      <c r="V10">
        <f t="shared" si="2"/>
        <v>9</v>
      </c>
      <c r="W10" t="s">
        <v>34</v>
      </c>
      <c r="X10" t="s">
        <v>36</v>
      </c>
      <c r="AD10">
        <f t="shared" si="3"/>
        <v>9</v>
      </c>
      <c r="AE10" t="s">
        <v>45</v>
      </c>
      <c r="AF10">
        <v>4</v>
      </c>
      <c r="AK10">
        <f t="shared" si="4"/>
        <v>9</v>
      </c>
      <c r="AL10">
        <v>77</v>
      </c>
    </row>
    <row r="11" spans="1:42" x14ac:dyDescent="0.25">
      <c r="A11">
        <f t="shared" si="0"/>
        <v>10</v>
      </c>
      <c r="B11" t="s">
        <v>3</v>
      </c>
      <c r="C11" t="s">
        <v>2</v>
      </c>
      <c r="K11">
        <f t="shared" si="1"/>
        <v>10</v>
      </c>
      <c r="L11">
        <v>3</v>
      </c>
      <c r="N11" t="s">
        <v>30</v>
      </c>
      <c r="V11">
        <f t="shared" si="2"/>
        <v>10</v>
      </c>
      <c r="W11" t="s">
        <v>33</v>
      </c>
      <c r="X11" t="s">
        <v>37</v>
      </c>
      <c r="AD11">
        <f t="shared" si="3"/>
        <v>10</v>
      </c>
      <c r="AE11" t="s">
        <v>44</v>
      </c>
      <c r="AF11">
        <v>5</v>
      </c>
      <c r="AK11">
        <f t="shared" si="4"/>
        <v>10</v>
      </c>
      <c r="AL11">
        <v>3</v>
      </c>
      <c r="AP11" t="s">
        <v>54</v>
      </c>
    </row>
    <row r="12" spans="1:42" x14ac:dyDescent="0.25">
      <c r="A12">
        <f t="shared" si="0"/>
        <v>11</v>
      </c>
      <c r="B12" t="s">
        <v>3</v>
      </c>
      <c r="C12" t="s">
        <v>2</v>
      </c>
      <c r="K12">
        <f t="shared" si="1"/>
        <v>11</v>
      </c>
      <c r="L12">
        <v>6</v>
      </c>
      <c r="N12">
        <f>N10+O10</f>
        <v>0.35</v>
      </c>
      <c r="V12">
        <f t="shared" si="2"/>
        <v>11</v>
      </c>
      <c r="W12" t="s">
        <v>34</v>
      </c>
      <c r="X12" t="s">
        <v>36</v>
      </c>
      <c r="AD12">
        <f t="shared" si="3"/>
        <v>11</v>
      </c>
      <c r="AE12" t="s">
        <v>45</v>
      </c>
      <c r="AF12">
        <v>3</v>
      </c>
      <c r="AK12">
        <f t="shared" si="4"/>
        <v>11</v>
      </c>
      <c r="AL12">
        <v>83</v>
      </c>
    </row>
    <row r="13" spans="1:42" x14ac:dyDescent="0.25">
      <c r="A13">
        <f t="shared" si="0"/>
        <v>12</v>
      </c>
      <c r="B13" t="s">
        <v>3</v>
      </c>
      <c r="C13" t="s">
        <v>2</v>
      </c>
      <c r="E13" t="s">
        <v>12</v>
      </c>
      <c r="F13">
        <f>COUNTIFS(B2:B101,"Head",C2:C101,"Head")</f>
        <v>23</v>
      </c>
      <c r="G13" t="s">
        <v>8</v>
      </c>
      <c r="H13">
        <f>F13/100</f>
        <v>0.23</v>
      </c>
      <c r="K13">
        <f t="shared" si="1"/>
        <v>12</v>
      </c>
      <c r="L13">
        <v>3</v>
      </c>
      <c r="V13">
        <f t="shared" si="2"/>
        <v>12</v>
      </c>
      <c r="W13" t="s">
        <v>34</v>
      </c>
      <c r="X13" t="s">
        <v>36</v>
      </c>
      <c r="AD13">
        <f t="shared" si="3"/>
        <v>12</v>
      </c>
      <c r="AE13" t="s">
        <v>45</v>
      </c>
      <c r="AF13">
        <v>2</v>
      </c>
      <c r="AK13">
        <f t="shared" si="4"/>
        <v>12</v>
      </c>
      <c r="AL13">
        <v>20</v>
      </c>
    </row>
    <row r="14" spans="1:42" x14ac:dyDescent="0.25">
      <c r="A14">
        <f t="shared" si="0"/>
        <v>13</v>
      </c>
      <c r="B14" t="s">
        <v>3</v>
      </c>
      <c r="C14" t="s">
        <v>3</v>
      </c>
      <c r="E14" t="s">
        <v>13</v>
      </c>
      <c r="F14">
        <f>COUNTIFS(B2:B101,"Tail",C2:C101,"Tail")</f>
        <v>24</v>
      </c>
      <c r="G14" t="s">
        <v>9</v>
      </c>
      <c r="H14">
        <f>F14/100</f>
        <v>0.24</v>
      </c>
      <c r="K14">
        <f t="shared" si="1"/>
        <v>13</v>
      </c>
      <c r="L14">
        <v>5</v>
      </c>
      <c r="V14">
        <f t="shared" si="2"/>
        <v>13</v>
      </c>
      <c r="W14" t="s">
        <v>34</v>
      </c>
      <c r="X14" t="s">
        <v>37</v>
      </c>
      <c r="AD14">
        <f t="shared" si="3"/>
        <v>13</v>
      </c>
      <c r="AE14" t="s">
        <v>44</v>
      </c>
      <c r="AF14">
        <v>1</v>
      </c>
      <c r="AK14">
        <f t="shared" si="4"/>
        <v>13</v>
      </c>
      <c r="AL14">
        <v>94</v>
      </c>
    </row>
    <row r="15" spans="1:42" x14ac:dyDescent="0.25">
      <c r="A15">
        <f t="shared" si="0"/>
        <v>14</v>
      </c>
      <c r="B15" t="s">
        <v>3</v>
      </c>
      <c r="C15" t="s">
        <v>3</v>
      </c>
      <c r="E15" t="s">
        <v>14</v>
      </c>
      <c r="F15">
        <f>COUNTIFS(B2:B101,"Head",C2:C101,"Tail")</f>
        <v>29</v>
      </c>
      <c r="G15" t="s">
        <v>10</v>
      </c>
      <c r="H15">
        <f>F15/100</f>
        <v>0.28999999999999998</v>
      </c>
      <c r="K15">
        <f t="shared" si="1"/>
        <v>14</v>
      </c>
      <c r="L15">
        <v>1</v>
      </c>
      <c r="V15">
        <f t="shared" si="2"/>
        <v>14</v>
      </c>
      <c r="W15" t="s">
        <v>34</v>
      </c>
      <c r="X15" t="s">
        <v>36</v>
      </c>
      <c r="AD15">
        <f t="shared" si="3"/>
        <v>14</v>
      </c>
      <c r="AE15" t="s">
        <v>44</v>
      </c>
      <c r="AF15">
        <v>4</v>
      </c>
      <c r="AK15">
        <f t="shared" si="4"/>
        <v>14</v>
      </c>
      <c r="AL15">
        <v>29</v>
      </c>
    </row>
    <row r="16" spans="1:42" x14ac:dyDescent="0.25">
      <c r="A16">
        <f t="shared" si="0"/>
        <v>15</v>
      </c>
      <c r="B16" t="s">
        <v>2</v>
      </c>
      <c r="C16" t="s">
        <v>3</v>
      </c>
      <c r="E16" t="s">
        <v>15</v>
      </c>
      <c r="F16">
        <f>COUNTIFS(B2:B101,"Tail",C2:C101,"Head")</f>
        <v>24</v>
      </c>
      <c r="G16" t="s">
        <v>11</v>
      </c>
      <c r="H16">
        <f>F16/100</f>
        <v>0.24</v>
      </c>
      <c r="K16">
        <f t="shared" si="1"/>
        <v>15</v>
      </c>
      <c r="L16">
        <v>5</v>
      </c>
      <c r="V16">
        <f t="shared" si="2"/>
        <v>15</v>
      </c>
      <c r="W16" t="s">
        <v>33</v>
      </c>
      <c r="X16" t="s">
        <v>37</v>
      </c>
      <c r="AD16">
        <f t="shared" si="3"/>
        <v>15</v>
      </c>
      <c r="AE16" t="s">
        <v>45</v>
      </c>
      <c r="AF16">
        <v>2</v>
      </c>
      <c r="AK16">
        <f t="shared" si="4"/>
        <v>15</v>
      </c>
      <c r="AL16">
        <v>48</v>
      </c>
    </row>
    <row r="17" spans="1:38" x14ac:dyDescent="0.25">
      <c r="A17">
        <f t="shared" si="0"/>
        <v>16</v>
      </c>
      <c r="B17" t="s">
        <v>3</v>
      </c>
      <c r="C17" t="s">
        <v>2</v>
      </c>
      <c r="K17">
        <f t="shared" si="1"/>
        <v>16</v>
      </c>
      <c r="L17">
        <v>4</v>
      </c>
      <c r="V17">
        <f t="shared" si="2"/>
        <v>16</v>
      </c>
      <c r="W17" t="s">
        <v>34</v>
      </c>
      <c r="X17" t="s">
        <v>36</v>
      </c>
      <c r="AD17">
        <f t="shared" si="3"/>
        <v>16</v>
      </c>
      <c r="AE17" t="s">
        <v>45</v>
      </c>
      <c r="AF17">
        <v>5</v>
      </c>
      <c r="AK17">
        <f t="shared" si="4"/>
        <v>16</v>
      </c>
      <c r="AL17">
        <v>68</v>
      </c>
    </row>
    <row r="18" spans="1:38" x14ac:dyDescent="0.25">
      <c r="A18">
        <f t="shared" si="0"/>
        <v>17</v>
      </c>
      <c r="B18" t="s">
        <v>2</v>
      </c>
      <c r="C18" t="s">
        <v>3</v>
      </c>
      <c r="K18">
        <f t="shared" si="1"/>
        <v>17</v>
      </c>
      <c r="L18">
        <v>3</v>
      </c>
      <c r="V18">
        <f t="shared" si="2"/>
        <v>17</v>
      </c>
      <c r="W18" t="s">
        <v>33</v>
      </c>
      <c r="X18" t="s">
        <v>37</v>
      </c>
      <c r="AD18">
        <f t="shared" si="3"/>
        <v>17</v>
      </c>
      <c r="AE18" t="s">
        <v>44</v>
      </c>
      <c r="AF18">
        <v>2</v>
      </c>
      <c r="AK18">
        <f t="shared" si="4"/>
        <v>17</v>
      </c>
      <c r="AL18">
        <v>67</v>
      </c>
    </row>
    <row r="19" spans="1:38" x14ac:dyDescent="0.25">
      <c r="A19">
        <f t="shared" si="0"/>
        <v>18</v>
      </c>
      <c r="B19" t="s">
        <v>3</v>
      </c>
      <c r="C19" t="s">
        <v>3</v>
      </c>
      <c r="K19">
        <f t="shared" si="1"/>
        <v>18</v>
      </c>
      <c r="L19">
        <v>2</v>
      </c>
      <c r="V19">
        <f t="shared" si="2"/>
        <v>18</v>
      </c>
      <c r="W19" t="s">
        <v>34</v>
      </c>
      <c r="X19" t="s">
        <v>36</v>
      </c>
      <c r="AD19">
        <f t="shared" si="3"/>
        <v>18</v>
      </c>
      <c r="AE19" t="s">
        <v>45</v>
      </c>
      <c r="AF19">
        <v>2</v>
      </c>
      <c r="AK19">
        <f t="shared" si="4"/>
        <v>18</v>
      </c>
      <c r="AL19">
        <v>11</v>
      </c>
    </row>
    <row r="20" spans="1:38" x14ac:dyDescent="0.25">
      <c r="A20">
        <f t="shared" si="0"/>
        <v>19</v>
      </c>
      <c r="B20" t="s">
        <v>2</v>
      </c>
      <c r="C20" t="s">
        <v>3</v>
      </c>
      <c r="K20">
        <f t="shared" si="1"/>
        <v>19</v>
      </c>
      <c r="L20">
        <v>6</v>
      </c>
      <c r="V20">
        <f t="shared" si="2"/>
        <v>19</v>
      </c>
      <c r="W20" t="s">
        <v>34</v>
      </c>
      <c r="X20" t="s">
        <v>37</v>
      </c>
      <c r="AD20">
        <f t="shared" si="3"/>
        <v>19</v>
      </c>
      <c r="AE20" t="s">
        <v>44</v>
      </c>
      <c r="AF20">
        <v>4</v>
      </c>
      <c r="AK20">
        <f t="shared" si="4"/>
        <v>19</v>
      </c>
      <c r="AL20">
        <v>34</v>
      </c>
    </row>
    <row r="21" spans="1:38" x14ac:dyDescent="0.25">
      <c r="A21">
        <f t="shared" si="0"/>
        <v>20</v>
      </c>
      <c r="B21" t="s">
        <v>2</v>
      </c>
      <c r="C21" t="s">
        <v>2</v>
      </c>
      <c r="K21">
        <f t="shared" si="1"/>
        <v>20</v>
      </c>
      <c r="L21">
        <v>2</v>
      </c>
      <c r="V21">
        <f t="shared" si="2"/>
        <v>20</v>
      </c>
      <c r="W21" t="s">
        <v>33</v>
      </c>
      <c r="X21" t="s">
        <v>37</v>
      </c>
      <c r="AD21">
        <f t="shared" si="3"/>
        <v>20</v>
      </c>
      <c r="AE21" t="s">
        <v>45</v>
      </c>
      <c r="AF21">
        <v>4</v>
      </c>
      <c r="AK21">
        <f t="shared" si="4"/>
        <v>20</v>
      </c>
      <c r="AL21">
        <v>15</v>
      </c>
    </row>
    <row r="22" spans="1:38" x14ac:dyDescent="0.25">
      <c r="A22">
        <f t="shared" si="0"/>
        <v>21</v>
      </c>
      <c r="B22" t="s">
        <v>3</v>
      </c>
      <c r="C22" t="s">
        <v>2</v>
      </c>
      <c r="K22">
        <f t="shared" si="1"/>
        <v>21</v>
      </c>
      <c r="L22">
        <v>3</v>
      </c>
      <c r="V22">
        <f t="shared" si="2"/>
        <v>21</v>
      </c>
      <c r="W22" t="s">
        <v>34</v>
      </c>
      <c r="X22" t="s">
        <v>36</v>
      </c>
      <c r="AD22">
        <f t="shared" si="3"/>
        <v>21</v>
      </c>
      <c r="AE22" t="s">
        <v>44</v>
      </c>
      <c r="AF22">
        <v>4</v>
      </c>
      <c r="AK22">
        <f t="shared" si="4"/>
        <v>21</v>
      </c>
      <c r="AL22">
        <v>85</v>
      </c>
    </row>
    <row r="23" spans="1:38" x14ac:dyDescent="0.25">
      <c r="A23">
        <f t="shared" si="0"/>
        <v>22</v>
      </c>
      <c r="B23" t="s">
        <v>3</v>
      </c>
      <c r="C23" t="s">
        <v>3</v>
      </c>
      <c r="K23">
        <f t="shared" si="1"/>
        <v>22</v>
      </c>
      <c r="L23">
        <v>3</v>
      </c>
      <c r="V23">
        <f t="shared" si="2"/>
        <v>22</v>
      </c>
      <c r="W23" t="s">
        <v>33</v>
      </c>
      <c r="X23" t="s">
        <v>37</v>
      </c>
      <c r="AD23">
        <f t="shared" si="3"/>
        <v>22</v>
      </c>
      <c r="AE23" t="s">
        <v>44</v>
      </c>
      <c r="AF23">
        <v>6</v>
      </c>
      <c r="AK23">
        <f t="shared" si="4"/>
        <v>22</v>
      </c>
      <c r="AL23">
        <v>95</v>
      </c>
    </row>
    <row r="24" spans="1:38" x14ac:dyDescent="0.25">
      <c r="A24">
        <f t="shared" si="0"/>
        <v>23</v>
      </c>
      <c r="B24" t="s">
        <v>3</v>
      </c>
      <c r="C24" t="s">
        <v>2</v>
      </c>
      <c r="K24">
        <f t="shared" si="1"/>
        <v>23</v>
      </c>
      <c r="L24">
        <v>5</v>
      </c>
      <c r="V24">
        <f t="shared" si="2"/>
        <v>23</v>
      </c>
      <c r="W24" t="s">
        <v>33</v>
      </c>
      <c r="X24" t="s">
        <v>36</v>
      </c>
      <c r="AD24">
        <f t="shared" si="3"/>
        <v>23</v>
      </c>
      <c r="AE24" t="s">
        <v>44</v>
      </c>
      <c r="AF24">
        <v>6</v>
      </c>
      <c r="AK24">
        <f t="shared" si="4"/>
        <v>23</v>
      </c>
      <c r="AL24">
        <v>98</v>
      </c>
    </row>
    <row r="25" spans="1:38" x14ac:dyDescent="0.25">
      <c r="A25">
        <f t="shared" si="0"/>
        <v>24</v>
      </c>
      <c r="B25" t="s">
        <v>2</v>
      </c>
      <c r="C25" t="s">
        <v>2</v>
      </c>
      <c r="K25">
        <f t="shared" si="1"/>
        <v>24</v>
      </c>
      <c r="L25">
        <v>6</v>
      </c>
      <c r="V25">
        <f t="shared" si="2"/>
        <v>24</v>
      </c>
      <c r="W25" t="s">
        <v>33</v>
      </c>
      <c r="X25" t="s">
        <v>37</v>
      </c>
      <c r="AD25">
        <f t="shared" si="3"/>
        <v>24</v>
      </c>
      <c r="AE25" t="s">
        <v>45</v>
      </c>
      <c r="AF25">
        <v>6</v>
      </c>
      <c r="AK25">
        <f t="shared" si="4"/>
        <v>24</v>
      </c>
      <c r="AL25">
        <v>77</v>
      </c>
    </row>
    <row r="26" spans="1:38" x14ac:dyDescent="0.25">
      <c r="A26">
        <f t="shared" si="0"/>
        <v>25</v>
      </c>
      <c r="B26" t="s">
        <v>3</v>
      </c>
      <c r="C26" t="s">
        <v>2</v>
      </c>
      <c r="K26">
        <f t="shared" si="1"/>
        <v>25</v>
      </c>
      <c r="L26">
        <v>4</v>
      </c>
      <c r="V26">
        <f t="shared" si="2"/>
        <v>25</v>
      </c>
      <c r="W26" t="s">
        <v>33</v>
      </c>
      <c r="X26" t="s">
        <v>36</v>
      </c>
      <c r="AD26">
        <f t="shared" si="3"/>
        <v>25</v>
      </c>
      <c r="AE26" t="s">
        <v>45</v>
      </c>
      <c r="AF26">
        <v>5</v>
      </c>
      <c r="AK26">
        <f t="shared" si="4"/>
        <v>25</v>
      </c>
      <c r="AL26">
        <v>4</v>
      </c>
    </row>
    <row r="27" spans="1:38" x14ac:dyDescent="0.25">
      <c r="A27">
        <f t="shared" si="0"/>
        <v>26</v>
      </c>
      <c r="B27" t="s">
        <v>2</v>
      </c>
      <c r="C27" t="s">
        <v>3</v>
      </c>
      <c r="K27">
        <f t="shared" si="1"/>
        <v>26</v>
      </c>
      <c r="L27">
        <v>1</v>
      </c>
      <c r="V27">
        <f t="shared" si="2"/>
        <v>26</v>
      </c>
      <c r="W27" t="s">
        <v>34</v>
      </c>
      <c r="X27" t="s">
        <v>37</v>
      </c>
      <c r="AD27">
        <f t="shared" si="3"/>
        <v>26</v>
      </c>
      <c r="AE27" t="s">
        <v>44</v>
      </c>
      <c r="AF27">
        <v>4</v>
      </c>
      <c r="AK27">
        <f t="shared" si="4"/>
        <v>26</v>
      </c>
      <c r="AL27">
        <v>22</v>
      </c>
    </row>
    <row r="28" spans="1:38" x14ac:dyDescent="0.25">
      <c r="A28">
        <f t="shared" si="0"/>
        <v>27</v>
      </c>
      <c r="B28" t="s">
        <v>2</v>
      </c>
      <c r="C28" t="s">
        <v>2</v>
      </c>
      <c r="K28">
        <f t="shared" si="1"/>
        <v>27</v>
      </c>
      <c r="L28">
        <v>6</v>
      </c>
      <c r="V28">
        <f t="shared" si="2"/>
        <v>27</v>
      </c>
      <c r="W28" t="s">
        <v>33</v>
      </c>
      <c r="X28" t="s">
        <v>36</v>
      </c>
      <c r="AD28">
        <f t="shared" si="3"/>
        <v>27</v>
      </c>
      <c r="AE28" t="s">
        <v>45</v>
      </c>
      <c r="AF28">
        <v>5</v>
      </c>
      <c r="AK28">
        <f t="shared" si="4"/>
        <v>27</v>
      </c>
      <c r="AL28">
        <v>20</v>
      </c>
    </row>
    <row r="29" spans="1:38" x14ac:dyDescent="0.25">
      <c r="A29">
        <f t="shared" si="0"/>
        <v>28</v>
      </c>
      <c r="B29" t="s">
        <v>2</v>
      </c>
      <c r="C29" t="s">
        <v>2</v>
      </c>
      <c r="K29">
        <f t="shared" si="1"/>
        <v>28</v>
      </c>
      <c r="L29">
        <v>2</v>
      </c>
      <c r="V29">
        <f t="shared" si="2"/>
        <v>28</v>
      </c>
      <c r="W29" t="s">
        <v>33</v>
      </c>
      <c r="X29" t="s">
        <v>36</v>
      </c>
      <c r="AD29">
        <f t="shared" si="3"/>
        <v>28</v>
      </c>
      <c r="AE29" t="s">
        <v>45</v>
      </c>
      <c r="AF29">
        <v>5</v>
      </c>
      <c r="AK29">
        <f t="shared" si="4"/>
        <v>28</v>
      </c>
      <c r="AL29">
        <v>57</v>
      </c>
    </row>
    <row r="30" spans="1:38" x14ac:dyDescent="0.25">
      <c r="A30">
        <f t="shared" si="0"/>
        <v>29</v>
      </c>
      <c r="B30" t="s">
        <v>3</v>
      </c>
      <c r="C30" t="s">
        <v>3</v>
      </c>
      <c r="K30">
        <f t="shared" si="1"/>
        <v>29</v>
      </c>
      <c r="L30">
        <v>5</v>
      </c>
      <c r="V30">
        <f t="shared" si="2"/>
        <v>29</v>
      </c>
      <c r="W30" t="s">
        <v>34</v>
      </c>
      <c r="X30" t="s">
        <v>37</v>
      </c>
      <c r="AD30">
        <f t="shared" si="3"/>
        <v>29</v>
      </c>
      <c r="AE30" t="s">
        <v>45</v>
      </c>
      <c r="AF30">
        <v>5</v>
      </c>
      <c r="AK30">
        <f t="shared" si="4"/>
        <v>29</v>
      </c>
      <c r="AL30">
        <v>44</v>
      </c>
    </row>
    <row r="31" spans="1:38" x14ac:dyDescent="0.25">
      <c r="A31">
        <f t="shared" si="0"/>
        <v>30</v>
      </c>
      <c r="B31" t="s">
        <v>3</v>
      </c>
      <c r="C31" t="s">
        <v>2</v>
      </c>
      <c r="K31">
        <f t="shared" si="1"/>
        <v>30</v>
      </c>
      <c r="L31">
        <v>5</v>
      </c>
      <c r="V31">
        <f t="shared" si="2"/>
        <v>30</v>
      </c>
      <c r="W31" t="s">
        <v>33</v>
      </c>
      <c r="X31" t="s">
        <v>36</v>
      </c>
      <c r="AD31">
        <f t="shared" si="3"/>
        <v>30</v>
      </c>
      <c r="AE31" t="s">
        <v>45</v>
      </c>
      <c r="AF31">
        <v>6</v>
      </c>
      <c r="AK31">
        <f t="shared" si="4"/>
        <v>30</v>
      </c>
      <c r="AL31">
        <v>31</v>
      </c>
    </row>
    <row r="32" spans="1:38" x14ac:dyDescent="0.25">
      <c r="A32">
        <f t="shared" si="0"/>
        <v>31</v>
      </c>
      <c r="B32" t="s">
        <v>3</v>
      </c>
      <c r="C32" t="s">
        <v>2</v>
      </c>
      <c r="K32">
        <f t="shared" si="1"/>
        <v>31</v>
      </c>
      <c r="L32">
        <v>4</v>
      </c>
      <c r="V32">
        <f t="shared" si="2"/>
        <v>31</v>
      </c>
      <c r="W32" t="s">
        <v>34</v>
      </c>
      <c r="X32" t="s">
        <v>36</v>
      </c>
      <c r="AD32">
        <f t="shared" si="3"/>
        <v>31</v>
      </c>
      <c r="AE32" t="s">
        <v>45</v>
      </c>
      <c r="AF32">
        <v>2</v>
      </c>
      <c r="AK32">
        <f t="shared" si="4"/>
        <v>31</v>
      </c>
      <c r="AL32">
        <v>60</v>
      </c>
    </row>
    <row r="33" spans="1:38" x14ac:dyDescent="0.25">
      <c r="A33">
        <f t="shared" si="0"/>
        <v>32</v>
      </c>
      <c r="B33" t="s">
        <v>3</v>
      </c>
      <c r="C33" t="s">
        <v>3</v>
      </c>
      <c r="K33">
        <f t="shared" si="1"/>
        <v>32</v>
      </c>
      <c r="L33">
        <v>2</v>
      </c>
      <c r="V33">
        <f t="shared" si="2"/>
        <v>32</v>
      </c>
      <c r="W33" t="s">
        <v>34</v>
      </c>
      <c r="X33" t="s">
        <v>36</v>
      </c>
      <c r="AD33">
        <f t="shared" si="3"/>
        <v>32</v>
      </c>
      <c r="AE33" t="s">
        <v>45</v>
      </c>
      <c r="AF33">
        <v>5</v>
      </c>
      <c r="AK33">
        <f t="shared" si="4"/>
        <v>32</v>
      </c>
      <c r="AL33">
        <v>60</v>
      </c>
    </row>
    <row r="34" spans="1:38" x14ac:dyDescent="0.25">
      <c r="A34">
        <f t="shared" si="0"/>
        <v>33</v>
      </c>
      <c r="B34" t="s">
        <v>3</v>
      </c>
      <c r="C34" t="s">
        <v>2</v>
      </c>
      <c r="K34">
        <f t="shared" si="1"/>
        <v>33</v>
      </c>
      <c r="L34">
        <v>1</v>
      </c>
      <c r="V34">
        <f t="shared" si="2"/>
        <v>33</v>
      </c>
      <c r="W34" t="s">
        <v>34</v>
      </c>
      <c r="X34" t="s">
        <v>37</v>
      </c>
      <c r="AD34">
        <f t="shared" si="3"/>
        <v>33</v>
      </c>
      <c r="AE34" t="s">
        <v>44</v>
      </c>
      <c r="AF34">
        <v>2</v>
      </c>
      <c r="AK34">
        <f t="shared" si="4"/>
        <v>33</v>
      </c>
      <c r="AL34">
        <v>45</v>
      </c>
    </row>
    <row r="35" spans="1:38" x14ac:dyDescent="0.25">
      <c r="A35">
        <f t="shared" si="0"/>
        <v>34</v>
      </c>
      <c r="B35" t="s">
        <v>2</v>
      </c>
      <c r="C35" t="s">
        <v>3</v>
      </c>
      <c r="K35">
        <f t="shared" si="1"/>
        <v>34</v>
      </c>
      <c r="L35">
        <v>4</v>
      </c>
      <c r="V35">
        <f t="shared" si="2"/>
        <v>34</v>
      </c>
      <c r="W35" t="s">
        <v>34</v>
      </c>
      <c r="X35" t="s">
        <v>37</v>
      </c>
      <c r="AD35">
        <f t="shared" si="3"/>
        <v>34</v>
      </c>
      <c r="AE35" t="s">
        <v>45</v>
      </c>
      <c r="AF35">
        <v>1</v>
      </c>
      <c r="AK35">
        <f t="shared" si="4"/>
        <v>34</v>
      </c>
      <c r="AL35">
        <v>16</v>
      </c>
    </row>
    <row r="36" spans="1:38" x14ac:dyDescent="0.25">
      <c r="A36">
        <f t="shared" si="0"/>
        <v>35</v>
      </c>
      <c r="B36" t="s">
        <v>2</v>
      </c>
      <c r="C36" t="s">
        <v>2</v>
      </c>
      <c r="K36">
        <f t="shared" si="1"/>
        <v>35</v>
      </c>
      <c r="L36">
        <v>1</v>
      </c>
      <c r="V36">
        <f t="shared" si="2"/>
        <v>35</v>
      </c>
      <c r="W36" t="s">
        <v>34</v>
      </c>
      <c r="X36" t="s">
        <v>37</v>
      </c>
      <c r="AD36">
        <f t="shared" si="3"/>
        <v>35</v>
      </c>
      <c r="AE36" t="s">
        <v>45</v>
      </c>
      <c r="AF36">
        <v>5</v>
      </c>
      <c r="AK36">
        <f t="shared" si="4"/>
        <v>35</v>
      </c>
      <c r="AL36">
        <v>5</v>
      </c>
    </row>
    <row r="37" spans="1:38" x14ac:dyDescent="0.25">
      <c r="A37">
        <f t="shared" si="0"/>
        <v>36</v>
      </c>
      <c r="B37" t="s">
        <v>2</v>
      </c>
      <c r="C37" t="s">
        <v>3</v>
      </c>
      <c r="K37">
        <f t="shared" si="1"/>
        <v>36</v>
      </c>
      <c r="L37">
        <v>1</v>
      </c>
      <c r="V37">
        <f t="shared" si="2"/>
        <v>36</v>
      </c>
      <c r="W37" t="s">
        <v>33</v>
      </c>
      <c r="X37" t="s">
        <v>37</v>
      </c>
      <c r="AD37">
        <f t="shared" si="3"/>
        <v>36</v>
      </c>
      <c r="AE37" t="s">
        <v>45</v>
      </c>
      <c r="AF37">
        <v>6</v>
      </c>
      <c r="AK37">
        <f t="shared" si="4"/>
        <v>36</v>
      </c>
      <c r="AL37">
        <v>42</v>
      </c>
    </row>
    <row r="38" spans="1:38" x14ac:dyDescent="0.25">
      <c r="A38">
        <f t="shared" si="0"/>
        <v>37</v>
      </c>
      <c r="B38" t="s">
        <v>2</v>
      </c>
      <c r="C38" t="s">
        <v>2</v>
      </c>
      <c r="K38">
        <f t="shared" si="1"/>
        <v>37</v>
      </c>
      <c r="L38">
        <v>5</v>
      </c>
      <c r="V38">
        <f t="shared" si="2"/>
        <v>37</v>
      </c>
      <c r="W38" t="s">
        <v>34</v>
      </c>
      <c r="X38" t="s">
        <v>36</v>
      </c>
      <c r="AD38">
        <f t="shared" si="3"/>
        <v>37</v>
      </c>
      <c r="AE38" t="s">
        <v>44</v>
      </c>
      <c r="AF38">
        <v>4</v>
      </c>
      <c r="AK38">
        <f t="shared" si="4"/>
        <v>37</v>
      </c>
      <c r="AL38">
        <v>15</v>
      </c>
    </row>
    <row r="39" spans="1:38" x14ac:dyDescent="0.25">
      <c r="A39">
        <f t="shared" si="0"/>
        <v>38</v>
      </c>
      <c r="B39" t="s">
        <v>3</v>
      </c>
      <c r="C39" t="s">
        <v>2</v>
      </c>
      <c r="K39">
        <f t="shared" si="1"/>
        <v>38</v>
      </c>
      <c r="L39">
        <v>4</v>
      </c>
      <c r="V39">
        <f t="shared" si="2"/>
        <v>38</v>
      </c>
      <c r="W39" t="s">
        <v>33</v>
      </c>
      <c r="X39" t="s">
        <v>36</v>
      </c>
      <c r="AD39">
        <f t="shared" si="3"/>
        <v>38</v>
      </c>
      <c r="AE39" t="s">
        <v>45</v>
      </c>
      <c r="AF39">
        <v>4</v>
      </c>
      <c r="AK39">
        <f t="shared" si="4"/>
        <v>38</v>
      </c>
      <c r="AL39">
        <v>48</v>
      </c>
    </row>
    <row r="40" spans="1:38" x14ac:dyDescent="0.25">
      <c r="A40">
        <f t="shared" si="0"/>
        <v>39</v>
      </c>
      <c r="B40" t="s">
        <v>3</v>
      </c>
      <c r="C40" t="s">
        <v>3</v>
      </c>
      <c r="K40">
        <f t="shared" si="1"/>
        <v>39</v>
      </c>
      <c r="L40">
        <v>3</v>
      </c>
      <c r="V40">
        <f t="shared" si="2"/>
        <v>39</v>
      </c>
      <c r="W40" t="s">
        <v>34</v>
      </c>
      <c r="X40" t="s">
        <v>37</v>
      </c>
      <c r="AD40">
        <f t="shared" si="3"/>
        <v>39</v>
      </c>
      <c r="AE40" t="s">
        <v>44</v>
      </c>
      <c r="AF40">
        <v>5</v>
      </c>
      <c r="AK40">
        <f t="shared" si="4"/>
        <v>39</v>
      </c>
      <c r="AL40">
        <v>67</v>
      </c>
    </row>
    <row r="41" spans="1:38" x14ac:dyDescent="0.25">
      <c r="A41">
        <f t="shared" si="0"/>
        <v>40</v>
      </c>
      <c r="B41" t="s">
        <v>3</v>
      </c>
      <c r="C41" t="s">
        <v>2</v>
      </c>
      <c r="K41">
        <f t="shared" si="1"/>
        <v>40</v>
      </c>
      <c r="L41">
        <v>3</v>
      </c>
      <c r="V41">
        <f t="shared" si="2"/>
        <v>40</v>
      </c>
      <c r="W41" t="s">
        <v>33</v>
      </c>
      <c r="X41" t="s">
        <v>36</v>
      </c>
      <c r="AD41">
        <f t="shared" si="3"/>
        <v>40</v>
      </c>
      <c r="AE41" t="s">
        <v>44</v>
      </c>
      <c r="AF41">
        <v>3</v>
      </c>
      <c r="AK41">
        <f t="shared" si="4"/>
        <v>40</v>
      </c>
      <c r="AL41">
        <v>77</v>
      </c>
    </row>
    <row r="42" spans="1:38" x14ac:dyDescent="0.25">
      <c r="A42">
        <f t="shared" si="0"/>
        <v>41</v>
      </c>
      <c r="B42" t="s">
        <v>3</v>
      </c>
      <c r="C42" t="s">
        <v>3</v>
      </c>
      <c r="K42">
        <f t="shared" si="1"/>
        <v>41</v>
      </c>
      <c r="L42">
        <v>5</v>
      </c>
      <c r="V42">
        <f t="shared" si="2"/>
        <v>41</v>
      </c>
      <c r="W42" t="s">
        <v>33</v>
      </c>
      <c r="X42" t="s">
        <v>37</v>
      </c>
      <c r="AD42">
        <f t="shared" si="3"/>
        <v>41</v>
      </c>
      <c r="AE42" t="s">
        <v>45</v>
      </c>
      <c r="AF42">
        <v>2</v>
      </c>
      <c r="AK42">
        <f t="shared" si="4"/>
        <v>41</v>
      </c>
      <c r="AL42">
        <v>24</v>
      </c>
    </row>
    <row r="43" spans="1:38" x14ac:dyDescent="0.25">
      <c r="A43">
        <f t="shared" si="0"/>
        <v>42</v>
      </c>
      <c r="B43" t="s">
        <v>3</v>
      </c>
      <c r="C43" t="s">
        <v>3</v>
      </c>
      <c r="K43">
        <f t="shared" si="1"/>
        <v>42</v>
      </c>
      <c r="L43">
        <v>2</v>
      </c>
      <c r="V43">
        <f t="shared" si="2"/>
        <v>42</v>
      </c>
      <c r="W43" t="s">
        <v>33</v>
      </c>
      <c r="X43" t="s">
        <v>36</v>
      </c>
      <c r="AD43">
        <f t="shared" si="3"/>
        <v>42</v>
      </c>
      <c r="AE43" t="s">
        <v>44</v>
      </c>
      <c r="AF43">
        <v>4</v>
      </c>
      <c r="AK43">
        <f t="shared" si="4"/>
        <v>42</v>
      </c>
      <c r="AL43">
        <v>74</v>
      </c>
    </row>
    <row r="44" spans="1:38" x14ac:dyDescent="0.25">
      <c r="A44">
        <f t="shared" si="0"/>
        <v>43</v>
      </c>
      <c r="B44" t="s">
        <v>2</v>
      </c>
      <c r="C44" t="s">
        <v>3</v>
      </c>
      <c r="K44">
        <f t="shared" si="1"/>
        <v>43</v>
      </c>
      <c r="L44">
        <v>4</v>
      </c>
      <c r="V44">
        <f t="shared" si="2"/>
        <v>43</v>
      </c>
      <c r="W44" t="s">
        <v>34</v>
      </c>
      <c r="X44" t="s">
        <v>36</v>
      </c>
      <c r="AD44">
        <f t="shared" si="3"/>
        <v>43</v>
      </c>
      <c r="AE44" t="s">
        <v>44</v>
      </c>
      <c r="AF44">
        <v>1</v>
      </c>
      <c r="AK44">
        <f t="shared" si="4"/>
        <v>43</v>
      </c>
      <c r="AL44">
        <v>57</v>
      </c>
    </row>
    <row r="45" spans="1:38" x14ac:dyDescent="0.25">
      <c r="A45">
        <f t="shared" si="0"/>
        <v>44</v>
      </c>
      <c r="B45" t="s">
        <v>3</v>
      </c>
      <c r="C45" t="s">
        <v>2</v>
      </c>
      <c r="K45">
        <f t="shared" si="1"/>
        <v>44</v>
      </c>
      <c r="L45">
        <v>4</v>
      </c>
      <c r="V45">
        <f t="shared" si="2"/>
        <v>44</v>
      </c>
      <c r="W45" t="s">
        <v>34</v>
      </c>
      <c r="X45" t="s">
        <v>37</v>
      </c>
      <c r="AD45">
        <f t="shared" si="3"/>
        <v>44</v>
      </c>
      <c r="AE45" t="s">
        <v>45</v>
      </c>
      <c r="AF45">
        <v>1</v>
      </c>
      <c r="AK45">
        <f t="shared" si="4"/>
        <v>44</v>
      </c>
      <c r="AL45">
        <v>9</v>
      </c>
    </row>
    <row r="46" spans="1:38" x14ac:dyDescent="0.25">
      <c r="A46">
        <f t="shared" si="0"/>
        <v>45</v>
      </c>
      <c r="B46" t="s">
        <v>2</v>
      </c>
      <c r="C46" t="s">
        <v>3</v>
      </c>
      <c r="K46">
        <f t="shared" si="1"/>
        <v>45</v>
      </c>
      <c r="L46">
        <v>5</v>
      </c>
      <c r="V46">
        <f t="shared" si="2"/>
        <v>45</v>
      </c>
      <c r="W46" t="s">
        <v>33</v>
      </c>
      <c r="X46" t="s">
        <v>36</v>
      </c>
      <c r="AD46">
        <f t="shared" si="3"/>
        <v>45</v>
      </c>
      <c r="AE46" t="s">
        <v>44</v>
      </c>
      <c r="AF46">
        <v>6</v>
      </c>
      <c r="AK46">
        <f t="shared" si="4"/>
        <v>45</v>
      </c>
      <c r="AL46">
        <v>24</v>
      </c>
    </row>
    <row r="47" spans="1:38" x14ac:dyDescent="0.25">
      <c r="A47">
        <f t="shared" si="0"/>
        <v>46</v>
      </c>
      <c r="B47" t="s">
        <v>2</v>
      </c>
      <c r="C47" t="s">
        <v>2</v>
      </c>
      <c r="K47">
        <f t="shared" si="1"/>
        <v>46</v>
      </c>
      <c r="L47">
        <v>5</v>
      </c>
      <c r="V47">
        <f t="shared" si="2"/>
        <v>46</v>
      </c>
      <c r="W47" t="s">
        <v>34</v>
      </c>
      <c r="X47" t="s">
        <v>36</v>
      </c>
      <c r="AD47">
        <f t="shared" si="3"/>
        <v>46</v>
      </c>
      <c r="AE47" t="s">
        <v>45</v>
      </c>
      <c r="AF47">
        <v>1</v>
      </c>
      <c r="AK47">
        <f t="shared" si="4"/>
        <v>46</v>
      </c>
      <c r="AL47">
        <v>88</v>
      </c>
    </row>
    <row r="48" spans="1:38" x14ac:dyDescent="0.25">
      <c r="A48">
        <f t="shared" si="0"/>
        <v>47</v>
      </c>
      <c r="B48" t="s">
        <v>2</v>
      </c>
      <c r="C48" t="s">
        <v>3</v>
      </c>
      <c r="K48">
        <f t="shared" si="1"/>
        <v>47</v>
      </c>
      <c r="L48">
        <v>4</v>
      </c>
      <c r="V48">
        <f t="shared" si="2"/>
        <v>47</v>
      </c>
      <c r="W48" t="s">
        <v>34</v>
      </c>
      <c r="X48" t="s">
        <v>37</v>
      </c>
      <c r="AD48">
        <f t="shared" si="3"/>
        <v>47</v>
      </c>
      <c r="AE48" t="s">
        <v>44</v>
      </c>
      <c r="AF48">
        <v>3</v>
      </c>
      <c r="AK48">
        <f t="shared" si="4"/>
        <v>47</v>
      </c>
      <c r="AL48">
        <v>11</v>
      </c>
    </row>
    <row r="49" spans="1:38" x14ac:dyDescent="0.25">
      <c r="A49">
        <f t="shared" si="0"/>
        <v>48</v>
      </c>
      <c r="B49" t="s">
        <v>3</v>
      </c>
      <c r="C49" t="s">
        <v>3</v>
      </c>
      <c r="K49">
        <f t="shared" si="1"/>
        <v>48</v>
      </c>
      <c r="L49">
        <v>1</v>
      </c>
      <c r="V49">
        <f t="shared" si="2"/>
        <v>48</v>
      </c>
      <c r="W49" t="s">
        <v>33</v>
      </c>
      <c r="X49" t="s">
        <v>36</v>
      </c>
      <c r="AD49">
        <f t="shared" si="3"/>
        <v>48</v>
      </c>
      <c r="AE49" t="s">
        <v>44</v>
      </c>
      <c r="AF49">
        <v>6</v>
      </c>
      <c r="AK49">
        <f t="shared" si="4"/>
        <v>48</v>
      </c>
      <c r="AL49">
        <v>27</v>
      </c>
    </row>
    <row r="50" spans="1:38" x14ac:dyDescent="0.25">
      <c r="A50">
        <f t="shared" si="0"/>
        <v>49</v>
      </c>
      <c r="B50" t="s">
        <v>2</v>
      </c>
      <c r="C50" t="s">
        <v>3</v>
      </c>
      <c r="K50">
        <f t="shared" si="1"/>
        <v>49</v>
      </c>
      <c r="L50">
        <v>2</v>
      </c>
      <c r="V50">
        <f t="shared" si="2"/>
        <v>49</v>
      </c>
      <c r="W50" t="s">
        <v>34</v>
      </c>
      <c r="X50" t="s">
        <v>37</v>
      </c>
      <c r="AD50">
        <f t="shared" si="3"/>
        <v>49</v>
      </c>
      <c r="AE50" t="s">
        <v>45</v>
      </c>
      <c r="AF50">
        <v>5</v>
      </c>
      <c r="AK50">
        <f t="shared" si="4"/>
        <v>49</v>
      </c>
      <c r="AL50">
        <v>34</v>
      </c>
    </row>
    <row r="51" spans="1:38" x14ac:dyDescent="0.25">
      <c r="A51">
        <f t="shared" si="0"/>
        <v>50</v>
      </c>
      <c r="B51" t="s">
        <v>3</v>
      </c>
      <c r="C51" t="s">
        <v>2</v>
      </c>
      <c r="K51">
        <f t="shared" si="1"/>
        <v>50</v>
      </c>
      <c r="L51">
        <v>3</v>
      </c>
      <c r="V51">
        <f t="shared" si="2"/>
        <v>50</v>
      </c>
      <c r="W51" t="s">
        <v>33</v>
      </c>
      <c r="X51" t="s">
        <v>36</v>
      </c>
      <c r="AD51">
        <f t="shared" si="3"/>
        <v>50</v>
      </c>
      <c r="AE51" t="s">
        <v>45</v>
      </c>
      <c r="AF51">
        <v>2</v>
      </c>
      <c r="AK51">
        <f t="shared" si="4"/>
        <v>50</v>
      </c>
      <c r="AL51">
        <v>26</v>
      </c>
    </row>
    <row r="52" spans="1:38" x14ac:dyDescent="0.25">
      <c r="A52">
        <f t="shared" si="0"/>
        <v>51</v>
      </c>
      <c r="B52" t="s">
        <v>3</v>
      </c>
      <c r="C52" t="s">
        <v>2</v>
      </c>
      <c r="K52">
        <f t="shared" si="1"/>
        <v>51</v>
      </c>
      <c r="L52">
        <v>1</v>
      </c>
      <c r="V52">
        <f t="shared" si="2"/>
        <v>51</v>
      </c>
      <c r="W52" t="s">
        <v>33</v>
      </c>
      <c r="X52" t="s">
        <v>36</v>
      </c>
      <c r="AD52">
        <f t="shared" si="3"/>
        <v>51</v>
      </c>
      <c r="AE52" t="s">
        <v>44</v>
      </c>
      <c r="AF52">
        <v>4</v>
      </c>
      <c r="AK52">
        <f t="shared" si="4"/>
        <v>51</v>
      </c>
      <c r="AL52">
        <v>39</v>
      </c>
    </row>
    <row r="53" spans="1:38" x14ac:dyDescent="0.25">
      <c r="A53">
        <f t="shared" si="0"/>
        <v>52</v>
      </c>
      <c r="B53" t="s">
        <v>2</v>
      </c>
      <c r="C53" t="s">
        <v>3</v>
      </c>
      <c r="K53">
        <f t="shared" si="1"/>
        <v>52</v>
      </c>
      <c r="L53">
        <v>2</v>
      </c>
      <c r="V53">
        <f t="shared" si="2"/>
        <v>52</v>
      </c>
      <c r="W53" t="s">
        <v>34</v>
      </c>
      <c r="X53" t="s">
        <v>36</v>
      </c>
      <c r="AD53">
        <f t="shared" si="3"/>
        <v>52</v>
      </c>
      <c r="AE53" t="s">
        <v>45</v>
      </c>
      <c r="AF53">
        <v>6</v>
      </c>
      <c r="AK53">
        <f t="shared" si="4"/>
        <v>52</v>
      </c>
      <c r="AL53">
        <v>18</v>
      </c>
    </row>
    <row r="54" spans="1:38" x14ac:dyDescent="0.25">
      <c r="A54">
        <f t="shared" si="0"/>
        <v>53</v>
      </c>
      <c r="B54" t="s">
        <v>3</v>
      </c>
      <c r="C54" t="s">
        <v>2</v>
      </c>
      <c r="K54">
        <f t="shared" si="1"/>
        <v>53</v>
      </c>
      <c r="L54">
        <v>2</v>
      </c>
      <c r="V54">
        <f t="shared" si="2"/>
        <v>53</v>
      </c>
      <c r="W54" t="s">
        <v>33</v>
      </c>
      <c r="X54" t="s">
        <v>36</v>
      </c>
      <c r="AD54">
        <f t="shared" si="3"/>
        <v>53</v>
      </c>
      <c r="AE54" t="s">
        <v>45</v>
      </c>
      <c r="AF54">
        <v>6</v>
      </c>
      <c r="AK54">
        <f t="shared" si="4"/>
        <v>53</v>
      </c>
      <c r="AL54">
        <v>55</v>
      </c>
    </row>
    <row r="55" spans="1:38" x14ac:dyDescent="0.25">
      <c r="A55">
        <f t="shared" si="0"/>
        <v>54</v>
      </c>
      <c r="B55" t="s">
        <v>3</v>
      </c>
      <c r="C55" t="s">
        <v>3</v>
      </c>
      <c r="K55">
        <f t="shared" si="1"/>
        <v>54</v>
      </c>
      <c r="L55">
        <v>2</v>
      </c>
      <c r="V55">
        <f t="shared" si="2"/>
        <v>54</v>
      </c>
      <c r="W55" t="s">
        <v>33</v>
      </c>
      <c r="X55" t="s">
        <v>37</v>
      </c>
      <c r="AD55">
        <f t="shared" si="3"/>
        <v>54</v>
      </c>
      <c r="AE55" t="s">
        <v>44</v>
      </c>
      <c r="AF55">
        <v>3</v>
      </c>
      <c r="AK55">
        <f t="shared" si="4"/>
        <v>54</v>
      </c>
      <c r="AL55">
        <v>42</v>
      </c>
    </row>
    <row r="56" spans="1:38" x14ac:dyDescent="0.25">
      <c r="A56">
        <f t="shared" si="0"/>
        <v>55</v>
      </c>
      <c r="B56" t="s">
        <v>2</v>
      </c>
      <c r="C56" t="s">
        <v>2</v>
      </c>
      <c r="K56">
        <f t="shared" si="1"/>
        <v>55</v>
      </c>
      <c r="L56">
        <v>3</v>
      </c>
      <c r="V56">
        <f t="shared" si="2"/>
        <v>55</v>
      </c>
      <c r="W56" t="s">
        <v>34</v>
      </c>
      <c r="X56" t="s">
        <v>36</v>
      </c>
      <c r="AD56">
        <f t="shared" si="3"/>
        <v>55</v>
      </c>
      <c r="AE56" t="s">
        <v>45</v>
      </c>
      <c r="AF56">
        <v>2</v>
      </c>
      <c r="AK56">
        <f t="shared" si="4"/>
        <v>55</v>
      </c>
      <c r="AL56">
        <v>18</v>
      </c>
    </row>
    <row r="57" spans="1:38" x14ac:dyDescent="0.25">
      <c r="A57">
        <f t="shared" si="0"/>
        <v>56</v>
      </c>
      <c r="B57" t="s">
        <v>3</v>
      </c>
      <c r="C57" t="s">
        <v>2</v>
      </c>
      <c r="K57">
        <f t="shared" si="1"/>
        <v>56</v>
      </c>
      <c r="L57">
        <v>1</v>
      </c>
      <c r="V57">
        <f t="shared" si="2"/>
        <v>56</v>
      </c>
      <c r="W57" t="s">
        <v>34</v>
      </c>
      <c r="X57" t="s">
        <v>37</v>
      </c>
      <c r="AD57">
        <f t="shared" si="3"/>
        <v>56</v>
      </c>
      <c r="AE57" t="s">
        <v>45</v>
      </c>
      <c r="AF57">
        <v>1</v>
      </c>
      <c r="AK57">
        <f t="shared" si="4"/>
        <v>56</v>
      </c>
      <c r="AL57">
        <v>33</v>
      </c>
    </row>
    <row r="58" spans="1:38" x14ac:dyDescent="0.25">
      <c r="A58">
        <f t="shared" si="0"/>
        <v>57</v>
      </c>
      <c r="B58" t="s">
        <v>3</v>
      </c>
      <c r="C58" t="s">
        <v>2</v>
      </c>
      <c r="K58">
        <f t="shared" si="1"/>
        <v>57</v>
      </c>
      <c r="L58">
        <v>2</v>
      </c>
      <c r="V58">
        <f t="shared" si="2"/>
        <v>57</v>
      </c>
      <c r="W58" t="s">
        <v>34</v>
      </c>
      <c r="X58" t="s">
        <v>37</v>
      </c>
      <c r="AD58">
        <f t="shared" si="3"/>
        <v>57</v>
      </c>
      <c r="AE58" t="s">
        <v>45</v>
      </c>
      <c r="AF58">
        <v>1</v>
      </c>
      <c r="AK58">
        <f t="shared" si="4"/>
        <v>57</v>
      </c>
      <c r="AL58">
        <v>4</v>
      </c>
    </row>
    <row r="59" spans="1:38" x14ac:dyDescent="0.25">
      <c r="A59">
        <f t="shared" si="0"/>
        <v>58</v>
      </c>
      <c r="B59" t="s">
        <v>2</v>
      </c>
      <c r="C59" t="s">
        <v>3</v>
      </c>
      <c r="K59">
        <f t="shared" si="1"/>
        <v>58</v>
      </c>
      <c r="L59">
        <v>1</v>
      </c>
      <c r="V59">
        <f t="shared" si="2"/>
        <v>58</v>
      </c>
      <c r="W59" t="s">
        <v>34</v>
      </c>
      <c r="X59" t="s">
        <v>36</v>
      </c>
      <c r="AD59">
        <f t="shared" si="3"/>
        <v>58</v>
      </c>
      <c r="AE59" t="s">
        <v>44</v>
      </c>
      <c r="AF59">
        <v>4</v>
      </c>
      <c r="AK59">
        <f t="shared" si="4"/>
        <v>58</v>
      </c>
      <c r="AL59">
        <v>4</v>
      </c>
    </row>
    <row r="60" spans="1:38" x14ac:dyDescent="0.25">
      <c r="A60">
        <f t="shared" si="0"/>
        <v>59</v>
      </c>
      <c r="B60" t="s">
        <v>2</v>
      </c>
      <c r="C60" t="s">
        <v>2</v>
      </c>
      <c r="K60">
        <f t="shared" si="1"/>
        <v>59</v>
      </c>
      <c r="L60">
        <v>2</v>
      </c>
      <c r="V60">
        <f t="shared" si="2"/>
        <v>59</v>
      </c>
      <c r="W60" t="s">
        <v>33</v>
      </c>
      <c r="X60" t="s">
        <v>37</v>
      </c>
      <c r="AD60">
        <f t="shared" si="3"/>
        <v>59</v>
      </c>
      <c r="AE60" t="s">
        <v>45</v>
      </c>
      <c r="AF60">
        <v>6</v>
      </c>
      <c r="AK60">
        <f t="shared" si="4"/>
        <v>59</v>
      </c>
      <c r="AL60">
        <v>42</v>
      </c>
    </row>
    <row r="61" spans="1:38" x14ac:dyDescent="0.25">
      <c r="A61">
        <f t="shared" si="0"/>
        <v>60</v>
      </c>
      <c r="B61" t="s">
        <v>3</v>
      </c>
      <c r="C61" t="s">
        <v>2</v>
      </c>
      <c r="K61">
        <f t="shared" si="1"/>
        <v>60</v>
      </c>
      <c r="L61">
        <v>2</v>
      </c>
      <c r="V61">
        <f t="shared" si="2"/>
        <v>60</v>
      </c>
      <c r="W61" t="s">
        <v>34</v>
      </c>
      <c r="X61" t="s">
        <v>37</v>
      </c>
      <c r="AD61">
        <f t="shared" si="3"/>
        <v>60</v>
      </c>
      <c r="AE61" t="s">
        <v>45</v>
      </c>
      <c r="AF61">
        <v>4</v>
      </c>
      <c r="AK61">
        <f t="shared" si="4"/>
        <v>60</v>
      </c>
      <c r="AL61">
        <v>67</v>
      </c>
    </row>
    <row r="62" spans="1:38" x14ac:dyDescent="0.25">
      <c r="A62">
        <f t="shared" si="0"/>
        <v>61</v>
      </c>
      <c r="B62" t="s">
        <v>3</v>
      </c>
      <c r="C62" t="s">
        <v>2</v>
      </c>
      <c r="K62">
        <f t="shared" si="1"/>
        <v>61</v>
      </c>
      <c r="L62">
        <v>5</v>
      </c>
      <c r="V62">
        <f t="shared" si="2"/>
        <v>61</v>
      </c>
      <c r="W62" t="s">
        <v>34</v>
      </c>
      <c r="X62" t="s">
        <v>36</v>
      </c>
      <c r="AD62">
        <f t="shared" si="3"/>
        <v>61</v>
      </c>
      <c r="AE62" t="s">
        <v>45</v>
      </c>
      <c r="AF62">
        <v>1</v>
      </c>
      <c r="AK62">
        <f t="shared" si="4"/>
        <v>61</v>
      </c>
      <c r="AL62">
        <v>25</v>
      </c>
    </row>
    <row r="63" spans="1:38" x14ac:dyDescent="0.25">
      <c r="A63">
        <f t="shared" si="0"/>
        <v>62</v>
      </c>
      <c r="B63" t="s">
        <v>2</v>
      </c>
      <c r="C63" t="s">
        <v>3</v>
      </c>
      <c r="K63">
        <f t="shared" si="1"/>
        <v>62</v>
      </c>
      <c r="L63">
        <v>5</v>
      </c>
      <c r="V63">
        <f t="shared" si="2"/>
        <v>62</v>
      </c>
      <c r="W63" t="s">
        <v>34</v>
      </c>
      <c r="X63" t="s">
        <v>37</v>
      </c>
      <c r="AD63">
        <f t="shared" si="3"/>
        <v>62</v>
      </c>
      <c r="AE63" t="s">
        <v>45</v>
      </c>
      <c r="AF63">
        <v>3</v>
      </c>
      <c r="AK63">
        <f t="shared" si="4"/>
        <v>62</v>
      </c>
      <c r="AL63">
        <v>100</v>
      </c>
    </row>
    <row r="64" spans="1:38" x14ac:dyDescent="0.25">
      <c r="A64">
        <f t="shared" si="0"/>
        <v>63</v>
      </c>
      <c r="B64" t="s">
        <v>3</v>
      </c>
      <c r="C64" t="s">
        <v>2</v>
      </c>
      <c r="K64">
        <f t="shared" si="1"/>
        <v>63</v>
      </c>
      <c r="L64">
        <v>1</v>
      </c>
      <c r="V64">
        <f t="shared" si="2"/>
        <v>63</v>
      </c>
      <c r="W64" t="s">
        <v>33</v>
      </c>
      <c r="X64" t="s">
        <v>37</v>
      </c>
      <c r="AD64">
        <f t="shared" si="3"/>
        <v>63</v>
      </c>
      <c r="AE64" t="s">
        <v>45</v>
      </c>
      <c r="AF64">
        <v>6</v>
      </c>
      <c r="AK64">
        <f t="shared" si="4"/>
        <v>63</v>
      </c>
      <c r="AL64">
        <v>71</v>
      </c>
    </row>
    <row r="65" spans="1:38" x14ac:dyDescent="0.25">
      <c r="A65">
        <f t="shared" si="0"/>
        <v>64</v>
      </c>
      <c r="B65" t="s">
        <v>2</v>
      </c>
      <c r="C65" t="s">
        <v>3</v>
      </c>
      <c r="K65">
        <f t="shared" si="1"/>
        <v>64</v>
      </c>
      <c r="L65">
        <v>1</v>
      </c>
      <c r="V65">
        <f t="shared" si="2"/>
        <v>64</v>
      </c>
      <c r="W65" t="s">
        <v>33</v>
      </c>
      <c r="X65" t="s">
        <v>37</v>
      </c>
      <c r="AD65">
        <f t="shared" si="3"/>
        <v>64</v>
      </c>
      <c r="AE65" t="s">
        <v>44</v>
      </c>
      <c r="AF65">
        <v>5</v>
      </c>
      <c r="AK65">
        <f t="shared" si="4"/>
        <v>64</v>
      </c>
      <c r="AL65">
        <v>79</v>
      </c>
    </row>
    <row r="66" spans="1:38" x14ac:dyDescent="0.25">
      <c r="A66">
        <f t="shared" si="0"/>
        <v>65</v>
      </c>
      <c r="B66" t="s">
        <v>3</v>
      </c>
      <c r="C66" t="s">
        <v>3</v>
      </c>
      <c r="K66">
        <f t="shared" si="1"/>
        <v>65</v>
      </c>
      <c r="L66">
        <v>3</v>
      </c>
      <c r="V66">
        <f t="shared" si="2"/>
        <v>65</v>
      </c>
      <c r="W66" t="s">
        <v>34</v>
      </c>
      <c r="X66" t="s">
        <v>36</v>
      </c>
      <c r="AD66">
        <f t="shared" si="3"/>
        <v>65</v>
      </c>
      <c r="AE66" t="s">
        <v>45</v>
      </c>
      <c r="AF66">
        <v>6</v>
      </c>
      <c r="AK66">
        <f t="shared" si="4"/>
        <v>65</v>
      </c>
      <c r="AL66">
        <v>63</v>
      </c>
    </row>
    <row r="67" spans="1:38" x14ac:dyDescent="0.25">
      <c r="A67">
        <f t="shared" si="0"/>
        <v>66</v>
      </c>
      <c r="B67" t="s">
        <v>3</v>
      </c>
      <c r="C67" t="s">
        <v>2</v>
      </c>
      <c r="K67">
        <f t="shared" si="1"/>
        <v>66</v>
      </c>
      <c r="L67">
        <v>6</v>
      </c>
      <c r="V67">
        <f t="shared" si="2"/>
        <v>66</v>
      </c>
      <c r="W67" t="s">
        <v>33</v>
      </c>
      <c r="X67" t="s">
        <v>37</v>
      </c>
      <c r="AD67">
        <f t="shared" si="3"/>
        <v>66</v>
      </c>
      <c r="AE67" t="s">
        <v>44</v>
      </c>
      <c r="AF67">
        <v>3</v>
      </c>
      <c r="AK67">
        <f t="shared" si="4"/>
        <v>66</v>
      </c>
      <c r="AL67">
        <v>62</v>
      </c>
    </row>
    <row r="68" spans="1:38" x14ac:dyDescent="0.25">
      <c r="A68">
        <f t="shared" ref="A68:A101" si="5">A67+1</f>
        <v>67</v>
      </c>
      <c r="B68" t="s">
        <v>3</v>
      </c>
      <c r="C68" t="s">
        <v>3</v>
      </c>
      <c r="K68">
        <f t="shared" ref="K68:K101" si="6">1+K67</f>
        <v>67</v>
      </c>
      <c r="L68">
        <v>4</v>
      </c>
      <c r="V68">
        <f t="shared" ref="V68:V101" si="7">1+V67</f>
        <v>67</v>
      </c>
      <c r="W68" t="s">
        <v>33</v>
      </c>
      <c r="X68" t="s">
        <v>36</v>
      </c>
      <c r="AD68">
        <f t="shared" ref="AD68:AD101" si="8">1+AD67</f>
        <v>67</v>
      </c>
      <c r="AE68" t="s">
        <v>44</v>
      </c>
      <c r="AF68">
        <v>5</v>
      </c>
      <c r="AK68">
        <f t="shared" ref="AK68:AK101" si="9">1+AK67</f>
        <v>67</v>
      </c>
      <c r="AL68">
        <v>86</v>
      </c>
    </row>
    <row r="69" spans="1:38" x14ac:dyDescent="0.25">
      <c r="A69">
        <f t="shared" si="5"/>
        <v>68</v>
      </c>
      <c r="B69" t="s">
        <v>2</v>
      </c>
      <c r="C69" t="s">
        <v>2</v>
      </c>
      <c r="K69">
        <f t="shared" si="6"/>
        <v>68</v>
      </c>
      <c r="L69">
        <v>1</v>
      </c>
      <c r="V69">
        <f t="shared" si="7"/>
        <v>68</v>
      </c>
      <c r="W69" t="s">
        <v>34</v>
      </c>
      <c r="X69" t="s">
        <v>36</v>
      </c>
      <c r="AD69">
        <f t="shared" si="8"/>
        <v>68</v>
      </c>
      <c r="AE69" t="s">
        <v>45</v>
      </c>
      <c r="AF69">
        <v>1</v>
      </c>
      <c r="AK69">
        <f t="shared" si="9"/>
        <v>68</v>
      </c>
      <c r="AL69">
        <v>47</v>
      </c>
    </row>
    <row r="70" spans="1:38" x14ac:dyDescent="0.25">
      <c r="A70">
        <f t="shared" si="5"/>
        <v>69</v>
      </c>
      <c r="B70" t="s">
        <v>2</v>
      </c>
      <c r="C70" t="s">
        <v>3</v>
      </c>
      <c r="K70">
        <f t="shared" si="6"/>
        <v>69</v>
      </c>
      <c r="L70">
        <v>6</v>
      </c>
      <c r="V70">
        <f t="shared" si="7"/>
        <v>69</v>
      </c>
      <c r="W70" t="s">
        <v>33</v>
      </c>
      <c r="X70" t="s">
        <v>36</v>
      </c>
      <c r="AD70">
        <f t="shared" si="8"/>
        <v>69</v>
      </c>
      <c r="AE70" t="s">
        <v>45</v>
      </c>
      <c r="AF70">
        <v>5</v>
      </c>
      <c r="AK70">
        <f t="shared" si="9"/>
        <v>69</v>
      </c>
      <c r="AL70">
        <v>17</v>
      </c>
    </row>
    <row r="71" spans="1:38" x14ac:dyDescent="0.25">
      <c r="A71">
        <f t="shared" si="5"/>
        <v>70</v>
      </c>
      <c r="B71" t="s">
        <v>3</v>
      </c>
      <c r="C71" t="s">
        <v>3</v>
      </c>
      <c r="K71">
        <f t="shared" si="6"/>
        <v>70</v>
      </c>
      <c r="L71">
        <v>3</v>
      </c>
      <c r="V71">
        <f t="shared" si="7"/>
        <v>70</v>
      </c>
      <c r="W71" t="s">
        <v>34</v>
      </c>
      <c r="X71" t="s">
        <v>36</v>
      </c>
      <c r="AD71">
        <f t="shared" si="8"/>
        <v>70</v>
      </c>
      <c r="AE71" t="s">
        <v>45</v>
      </c>
      <c r="AF71">
        <v>6</v>
      </c>
      <c r="AK71">
        <f t="shared" si="9"/>
        <v>70</v>
      </c>
      <c r="AL71">
        <v>59</v>
      </c>
    </row>
    <row r="72" spans="1:38" x14ac:dyDescent="0.25">
      <c r="A72">
        <f t="shared" si="5"/>
        <v>71</v>
      </c>
      <c r="B72" t="s">
        <v>2</v>
      </c>
      <c r="C72" t="s">
        <v>2</v>
      </c>
      <c r="K72">
        <f t="shared" si="6"/>
        <v>71</v>
      </c>
      <c r="L72">
        <v>5</v>
      </c>
      <c r="V72">
        <f t="shared" si="7"/>
        <v>71</v>
      </c>
      <c r="W72" t="s">
        <v>33</v>
      </c>
      <c r="X72" t="s">
        <v>37</v>
      </c>
      <c r="AD72">
        <f t="shared" si="8"/>
        <v>71</v>
      </c>
      <c r="AE72" t="s">
        <v>45</v>
      </c>
      <c r="AF72">
        <v>6</v>
      </c>
      <c r="AK72">
        <f t="shared" si="9"/>
        <v>71</v>
      </c>
      <c r="AL72">
        <v>75</v>
      </c>
    </row>
    <row r="73" spans="1:38" x14ac:dyDescent="0.25">
      <c r="A73">
        <f t="shared" si="5"/>
        <v>72</v>
      </c>
      <c r="B73" t="s">
        <v>2</v>
      </c>
      <c r="C73" t="s">
        <v>2</v>
      </c>
      <c r="K73">
        <f t="shared" si="6"/>
        <v>72</v>
      </c>
      <c r="L73">
        <v>2</v>
      </c>
      <c r="V73">
        <f t="shared" si="7"/>
        <v>72</v>
      </c>
      <c r="W73" t="s">
        <v>34</v>
      </c>
      <c r="X73" t="s">
        <v>36</v>
      </c>
      <c r="AD73">
        <f t="shared" si="8"/>
        <v>72</v>
      </c>
      <c r="AE73" t="s">
        <v>44</v>
      </c>
      <c r="AF73">
        <v>1</v>
      </c>
      <c r="AK73">
        <f t="shared" si="9"/>
        <v>72</v>
      </c>
      <c r="AL73">
        <v>65</v>
      </c>
    </row>
    <row r="74" spans="1:38" x14ac:dyDescent="0.25">
      <c r="A74">
        <f t="shared" si="5"/>
        <v>73</v>
      </c>
      <c r="B74" t="s">
        <v>3</v>
      </c>
      <c r="C74" t="s">
        <v>2</v>
      </c>
      <c r="K74">
        <f t="shared" si="6"/>
        <v>73</v>
      </c>
      <c r="L74">
        <v>6</v>
      </c>
      <c r="V74">
        <f t="shared" si="7"/>
        <v>73</v>
      </c>
      <c r="W74" t="s">
        <v>34</v>
      </c>
      <c r="X74" t="s">
        <v>37</v>
      </c>
      <c r="AD74">
        <f t="shared" si="8"/>
        <v>73</v>
      </c>
      <c r="AE74" t="s">
        <v>45</v>
      </c>
      <c r="AF74">
        <v>2</v>
      </c>
      <c r="AK74">
        <f t="shared" si="9"/>
        <v>73</v>
      </c>
      <c r="AL74">
        <v>48</v>
      </c>
    </row>
    <row r="75" spans="1:38" x14ac:dyDescent="0.25">
      <c r="A75">
        <f t="shared" si="5"/>
        <v>74</v>
      </c>
      <c r="B75" t="s">
        <v>2</v>
      </c>
      <c r="C75" t="s">
        <v>2</v>
      </c>
      <c r="K75">
        <f t="shared" si="6"/>
        <v>74</v>
      </c>
      <c r="L75">
        <v>4</v>
      </c>
      <c r="V75">
        <f t="shared" si="7"/>
        <v>74</v>
      </c>
      <c r="W75" t="s">
        <v>33</v>
      </c>
      <c r="X75" t="s">
        <v>36</v>
      </c>
      <c r="AD75">
        <f t="shared" si="8"/>
        <v>74</v>
      </c>
      <c r="AE75" t="s">
        <v>45</v>
      </c>
      <c r="AF75">
        <v>4</v>
      </c>
      <c r="AK75">
        <f t="shared" si="9"/>
        <v>74</v>
      </c>
      <c r="AL75">
        <v>39</v>
      </c>
    </row>
    <row r="76" spans="1:38" x14ac:dyDescent="0.25">
      <c r="A76">
        <f t="shared" si="5"/>
        <v>75</v>
      </c>
      <c r="B76" t="s">
        <v>2</v>
      </c>
      <c r="C76" t="s">
        <v>2</v>
      </c>
      <c r="K76">
        <f t="shared" si="6"/>
        <v>75</v>
      </c>
      <c r="L76">
        <v>3</v>
      </c>
      <c r="V76">
        <f t="shared" si="7"/>
        <v>75</v>
      </c>
      <c r="W76" t="s">
        <v>34</v>
      </c>
      <c r="X76" t="s">
        <v>37</v>
      </c>
      <c r="AD76">
        <f t="shared" si="8"/>
        <v>75</v>
      </c>
      <c r="AE76" t="s">
        <v>44</v>
      </c>
      <c r="AF76">
        <v>2</v>
      </c>
      <c r="AK76">
        <f t="shared" si="9"/>
        <v>75</v>
      </c>
      <c r="AL76">
        <v>27</v>
      </c>
    </row>
    <row r="77" spans="1:38" x14ac:dyDescent="0.25">
      <c r="A77">
        <f t="shared" si="5"/>
        <v>76</v>
      </c>
      <c r="B77" t="s">
        <v>3</v>
      </c>
      <c r="C77" t="s">
        <v>2</v>
      </c>
      <c r="K77">
        <f t="shared" si="6"/>
        <v>76</v>
      </c>
      <c r="L77">
        <v>5</v>
      </c>
      <c r="V77">
        <f t="shared" si="7"/>
        <v>76</v>
      </c>
      <c r="W77" t="s">
        <v>33</v>
      </c>
      <c r="X77" t="s">
        <v>36</v>
      </c>
      <c r="AD77">
        <f t="shared" si="8"/>
        <v>76</v>
      </c>
      <c r="AE77" t="s">
        <v>45</v>
      </c>
      <c r="AF77">
        <v>2</v>
      </c>
      <c r="AK77">
        <f t="shared" si="9"/>
        <v>76</v>
      </c>
      <c r="AL77">
        <v>12</v>
      </c>
    </row>
    <row r="78" spans="1:38" x14ac:dyDescent="0.25">
      <c r="A78">
        <f t="shared" si="5"/>
        <v>77</v>
      </c>
      <c r="B78" t="s">
        <v>2</v>
      </c>
      <c r="C78" t="s">
        <v>2</v>
      </c>
      <c r="K78">
        <f t="shared" si="6"/>
        <v>77</v>
      </c>
      <c r="L78">
        <v>3</v>
      </c>
      <c r="V78">
        <f t="shared" si="7"/>
        <v>77</v>
      </c>
      <c r="W78" t="s">
        <v>33</v>
      </c>
      <c r="X78" t="s">
        <v>36</v>
      </c>
      <c r="AD78">
        <f t="shared" si="8"/>
        <v>77</v>
      </c>
      <c r="AE78" t="s">
        <v>44</v>
      </c>
      <c r="AF78">
        <v>6</v>
      </c>
      <c r="AK78">
        <f t="shared" si="9"/>
        <v>77</v>
      </c>
      <c r="AL78">
        <v>66</v>
      </c>
    </row>
    <row r="79" spans="1:38" x14ac:dyDescent="0.25">
      <c r="A79">
        <f t="shared" si="5"/>
        <v>78</v>
      </c>
      <c r="B79" t="s">
        <v>3</v>
      </c>
      <c r="C79" t="s">
        <v>3</v>
      </c>
      <c r="K79">
        <f t="shared" si="6"/>
        <v>78</v>
      </c>
      <c r="L79">
        <v>3</v>
      </c>
      <c r="V79">
        <f t="shared" si="7"/>
        <v>78</v>
      </c>
      <c r="W79" t="s">
        <v>34</v>
      </c>
      <c r="X79" t="s">
        <v>37</v>
      </c>
      <c r="AD79">
        <f t="shared" si="8"/>
        <v>78</v>
      </c>
      <c r="AE79" t="s">
        <v>44</v>
      </c>
      <c r="AF79">
        <v>3</v>
      </c>
      <c r="AK79">
        <f t="shared" si="9"/>
        <v>78</v>
      </c>
      <c r="AL79">
        <v>2</v>
      </c>
    </row>
    <row r="80" spans="1:38" x14ac:dyDescent="0.25">
      <c r="A80">
        <f t="shared" si="5"/>
        <v>79</v>
      </c>
      <c r="B80" t="s">
        <v>2</v>
      </c>
      <c r="C80" t="s">
        <v>2</v>
      </c>
      <c r="K80">
        <f t="shared" si="6"/>
        <v>79</v>
      </c>
      <c r="L80">
        <v>3</v>
      </c>
      <c r="V80">
        <f t="shared" si="7"/>
        <v>79</v>
      </c>
      <c r="W80" t="s">
        <v>34</v>
      </c>
      <c r="X80" t="s">
        <v>37</v>
      </c>
      <c r="AD80">
        <f t="shared" si="8"/>
        <v>79</v>
      </c>
      <c r="AE80" t="s">
        <v>44</v>
      </c>
      <c r="AF80">
        <v>2</v>
      </c>
      <c r="AK80">
        <f t="shared" si="9"/>
        <v>79</v>
      </c>
      <c r="AL80">
        <v>17</v>
      </c>
    </row>
    <row r="81" spans="1:38" x14ac:dyDescent="0.25">
      <c r="A81">
        <f t="shared" si="5"/>
        <v>80</v>
      </c>
      <c r="B81" t="s">
        <v>3</v>
      </c>
      <c r="C81" t="s">
        <v>2</v>
      </c>
      <c r="K81">
        <f t="shared" si="6"/>
        <v>80</v>
      </c>
      <c r="L81">
        <v>4</v>
      </c>
      <c r="V81">
        <f t="shared" si="7"/>
        <v>80</v>
      </c>
      <c r="W81" t="s">
        <v>33</v>
      </c>
      <c r="X81" t="s">
        <v>36</v>
      </c>
      <c r="AD81">
        <f t="shared" si="8"/>
        <v>80</v>
      </c>
      <c r="AE81" t="s">
        <v>44</v>
      </c>
      <c r="AF81">
        <v>5</v>
      </c>
      <c r="AK81">
        <f t="shared" si="9"/>
        <v>80</v>
      </c>
      <c r="AL81">
        <v>85</v>
      </c>
    </row>
    <row r="82" spans="1:38" x14ac:dyDescent="0.25">
      <c r="A82">
        <f t="shared" si="5"/>
        <v>81</v>
      </c>
      <c r="B82" t="s">
        <v>3</v>
      </c>
      <c r="C82" t="s">
        <v>3</v>
      </c>
      <c r="K82">
        <f t="shared" si="6"/>
        <v>81</v>
      </c>
      <c r="L82">
        <v>2</v>
      </c>
      <c r="V82">
        <f t="shared" si="7"/>
        <v>81</v>
      </c>
      <c r="W82" t="s">
        <v>34</v>
      </c>
      <c r="X82" t="s">
        <v>36</v>
      </c>
      <c r="AD82">
        <f t="shared" si="8"/>
        <v>81</v>
      </c>
      <c r="AE82" t="s">
        <v>45</v>
      </c>
      <c r="AF82">
        <v>5</v>
      </c>
      <c r="AK82">
        <f t="shared" si="9"/>
        <v>81</v>
      </c>
      <c r="AL82">
        <v>76</v>
      </c>
    </row>
    <row r="83" spans="1:38" x14ac:dyDescent="0.25">
      <c r="A83">
        <f t="shared" si="5"/>
        <v>82</v>
      </c>
      <c r="B83" t="s">
        <v>2</v>
      </c>
      <c r="C83" t="s">
        <v>2</v>
      </c>
      <c r="K83">
        <f t="shared" si="6"/>
        <v>82</v>
      </c>
      <c r="L83">
        <v>3</v>
      </c>
      <c r="V83">
        <f t="shared" si="7"/>
        <v>82</v>
      </c>
      <c r="W83" t="s">
        <v>33</v>
      </c>
      <c r="X83" t="s">
        <v>37</v>
      </c>
      <c r="AD83">
        <f t="shared" si="8"/>
        <v>82</v>
      </c>
      <c r="AE83" t="s">
        <v>44</v>
      </c>
      <c r="AF83">
        <v>5</v>
      </c>
      <c r="AK83">
        <f t="shared" si="9"/>
        <v>82</v>
      </c>
      <c r="AL83">
        <v>60</v>
      </c>
    </row>
    <row r="84" spans="1:38" x14ac:dyDescent="0.25">
      <c r="A84">
        <f t="shared" si="5"/>
        <v>83</v>
      </c>
      <c r="B84" t="s">
        <v>2</v>
      </c>
      <c r="C84" t="s">
        <v>2</v>
      </c>
      <c r="K84">
        <f t="shared" si="6"/>
        <v>83</v>
      </c>
      <c r="L84">
        <v>6</v>
      </c>
      <c r="V84">
        <f t="shared" si="7"/>
        <v>83</v>
      </c>
      <c r="W84" t="s">
        <v>34</v>
      </c>
      <c r="X84" t="s">
        <v>37</v>
      </c>
      <c r="AD84">
        <f t="shared" si="8"/>
        <v>83</v>
      </c>
      <c r="AE84" t="s">
        <v>45</v>
      </c>
      <c r="AF84">
        <v>6</v>
      </c>
      <c r="AK84">
        <f t="shared" si="9"/>
        <v>83</v>
      </c>
      <c r="AL84">
        <v>50</v>
      </c>
    </row>
    <row r="85" spans="1:38" x14ac:dyDescent="0.25">
      <c r="A85">
        <f t="shared" si="5"/>
        <v>84</v>
      </c>
      <c r="B85" t="s">
        <v>3</v>
      </c>
      <c r="C85" t="s">
        <v>3</v>
      </c>
      <c r="K85">
        <f t="shared" si="6"/>
        <v>84</v>
      </c>
      <c r="L85">
        <v>1</v>
      </c>
      <c r="V85">
        <f t="shared" si="7"/>
        <v>84</v>
      </c>
      <c r="W85" t="s">
        <v>33</v>
      </c>
      <c r="X85" t="s">
        <v>37</v>
      </c>
      <c r="AD85">
        <f t="shared" si="8"/>
        <v>84</v>
      </c>
      <c r="AE85" t="s">
        <v>45</v>
      </c>
      <c r="AF85">
        <v>3</v>
      </c>
      <c r="AK85">
        <f t="shared" si="9"/>
        <v>84</v>
      </c>
      <c r="AL85">
        <v>89</v>
      </c>
    </row>
    <row r="86" spans="1:38" x14ac:dyDescent="0.25">
      <c r="A86">
        <f t="shared" si="5"/>
        <v>85</v>
      </c>
      <c r="B86" t="s">
        <v>2</v>
      </c>
      <c r="C86" t="s">
        <v>3</v>
      </c>
      <c r="K86">
        <f t="shared" si="6"/>
        <v>85</v>
      </c>
      <c r="L86">
        <v>3</v>
      </c>
      <c r="V86">
        <f t="shared" si="7"/>
        <v>85</v>
      </c>
      <c r="W86" t="s">
        <v>34</v>
      </c>
      <c r="X86" t="s">
        <v>37</v>
      </c>
      <c r="AD86">
        <f t="shared" si="8"/>
        <v>85</v>
      </c>
      <c r="AE86" t="s">
        <v>44</v>
      </c>
      <c r="AF86">
        <v>5</v>
      </c>
      <c r="AK86">
        <f t="shared" si="9"/>
        <v>85</v>
      </c>
      <c r="AL86">
        <v>21</v>
      </c>
    </row>
    <row r="87" spans="1:38" x14ac:dyDescent="0.25">
      <c r="A87">
        <f t="shared" si="5"/>
        <v>86</v>
      </c>
      <c r="B87" t="s">
        <v>2</v>
      </c>
      <c r="C87" t="s">
        <v>3</v>
      </c>
      <c r="K87">
        <f t="shared" si="6"/>
        <v>86</v>
      </c>
      <c r="L87">
        <v>1</v>
      </c>
      <c r="V87">
        <f t="shared" si="7"/>
        <v>86</v>
      </c>
      <c r="W87" t="s">
        <v>33</v>
      </c>
      <c r="X87" t="s">
        <v>36</v>
      </c>
      <c r="AD87">
        <f t="shared" si="8"/>
        <v>86</v>
      </c>
      <c r="AE87" t="s">
        <v>44</v>
      </c>
      <c r="AF87">
        <v>5</v>
      </c>
      <c r="AK87">
        <f t="shared" si="9"/>
        <v>86</v>
      </c>
      <c r="AL87">
        <v>43</v>
      </c>
    </row>
    <row r="88" spans="1:38" x14ac:dyDescent="0.25">
      <c r="A88">
        <f t="shared" si="5"/>
        <v>87</v>
      </c>
      <c r="B88" t="s">
        <v>2</v>
      </c>
      <c r="C88" t="s">
        <v>3</v>
      </c>
      <c r="K88">
        <f t="shared" si="6"/>
        <v>87</v>
      </c>
      <c r="L88">
        <v>2</v>
      </c>
      <c r="V88">
        <f t="shared" si="7"/>
        <v>87</v>
      </c>
      <c r="W88" t="s">
        <v>33</v>
      </c>
      <c r="X88" t="s">
        <v>37</v>
      </c>
      <c r="AD88">
        <f t="shared" si="8"/>
        <v>87</v>
      </c>
      <c r="AE88" t="s">
        <v>45</v>
      </c>
      <c r="AF88">
        <v>4</v>
      </c>
      <c r="AK88">
        <f t="shared" si="9"/>
        <v>87</v>
      </c>
      <c r="AL88">
        <v>57</v>
      </c>
    </row>
    <row r="89" spans="1:38" x14ac:dyDescent="0.25">
      <c r="A89">
        <f t="shared" si="5"/>
        <v>88</v>
      </c>
      <c r="B89" t="s">
        <v>2</v>
      </c>
      <c r="C89" t="s">
        <v>2</v>
      </c>
      <c r="K89">
        <f t="shared" si="6"/>
        <v>88</v>
      </c>
      <c r="L89">
        <v>1</v>
      </c>
      <c r="V89">
        <f t="shared" si="7"/>
        <v>88</v>
      </c>
      <c r="W89" t="s">
        <v>34</v>
      </c>
      <c r="X89" t="s">
        <v>37</v>
      </c>
      <c r="AD89">
        <f t="shared" si="8"/>
        <v>88</v>
      </c>
      <c r="AE89" t="s">
        <v>45</v>
      </c>
      <c r="AF89">
        <v>5</v>
      </c>
      <c r="AK89">
        <f t="shared" si="9"/>
        <v>88</v>
      </c>
      <c r="AL89">
        <v>44</v>
      </c>
    </row>
    <row r="90" spans="1:38" x14ac:dyDescent="0.25">
      <c r="A90">
        <f t="shared" si="5"/>
        <v>89</v>
      </c>
      <c r="B90" t="s">
        <v>2</v>
      </c>
      <c r="C90" t="s">
        <v>2</v>
      </c>
      <c r="K90">
        <f t="shared" si="6"/>
        <v>89</v>
      </c>
      <c r="L90">
        <v>2</v>
      </c>
      <c r="V90">
        <f t="shared" si="7"/>
        <v>89</v>
      </c>
      <c r="W90" t="s">
        <v>33</v>
      </c>
      <c r="X90" t="s">
        <v>36</v>
      </c>
      <c r="AD90">
        <f t="shared" si="8"/>
        <v>89</v>
      </c>
      <c r="AE90" t="s">
        <v>44</v>
      </c>
      <c r="AF90">
        <v>6</v>
      </c>
      <c r="AK90">
        <f t="shared" si="9"/>
        <v>89</v>
      </c>
      <c r="AL90">
        <v>25</v>
      </c>
    </row>
    <row r="91" spans="1:38" x14ac:dyDescent="0.25">
      <c r="A91">
        <f t="shared" si="5"/>
        <v>90</v>
      </c>
      <c r="B91" t="s">
        <v>3</v>
      </c>
      <c r="C91" t="s">
        <v>3</v>
      </c>
      <c r="K91">
        <f t="shared" si="6"/>
        <v>90</v>
      </c>
      <c r="L91">
        <v>2</v>
      </c>
      <c r="V91">
        <f t="shared" si="7"/>
        <v>90</v>
      </c>
      <c r="W91" t="s">
        <v>34</v>
      </c>
      <c r="X91" t="s">
        <v>36</v>
      </c>
      <c r="AD91">
        <f t="shared" si="8"/>
        <v>90</v>
      </c>
      <c r="AE91" t="s">
        <v>44</v>
      </c>
      <c r="AF91">
        <v>2</v>
      </c>
      <c r="AK91">
        <f t="shared" si="9"/>
        <v>90</v>
      </c>
      <c r="AL91">
        <v>20</v>
      </c>
    </row>
    <row r="92" spans="1:38" x14ac:dyDescent="0.25">
      <c r="A92">
        <f t="shared" si="5"/>
        <v>91</v>
      </c>
      <c r="B92" t="s">
        <v>2</v>
      </c>
      <c r="C92" t="s">
        <v>2</v>
      </c>
      <c r="K92">
        <f t="shared" si="6"/>
        <v>91</v>
      </c>
      <c r="L92">
        <v>5</v>
      </c>
      <c r="V92">
        <f t="shared" si="7"/>
        <v>91</v>
      </c>
      <c r="W92" t="s">
        <v>34</v>
      </c>
      <c r="X92" t="s">
        <v>37</v>
      </c>
      <c r="AD92">
        <f t="shared" si="8"/>
        <v>91</v>
      </c>
      <c r="AE92" t="s">
        <v>45</v>
      </c>
      <c r="AF92">
        <v>3</v>
      </c>
      <c r="AK92">
        <f t="shared" si="9"/>
        <v>91</v>
      </c>
      <c r="AL92">
        <v>86</v>
      </c>
    </row>
    <row r="93" spans="1:38" x14ac:dyDescent="0.25">
      <c r="A93">
        <f t="shared" si="5"/>
        <v>92</v>
      </c>
      <c r="B93" t="s">
        <v>3</v>
      </c>
      <c r="C93" t="s">
        <v>3</v>
      </c>
      <c r="K93">
        <f t="shared" si="6"/>
        <v>92</v>
      </c>
      <c r="L93">
        <v>1</v>
      </c>
      <c r="V93">
        <f t="shared" si="7"/>
        <v>92</v>
      </c>
      <c r="W93" t="s">
        <v>34</v>
      </c>
      <c r="X93" t="s">
        <v>37</v>
      </c>
      <c r="AD93">
        <f t="shared" si="8"/>
        <v>92</v>
      </c>
      <c r="AE93" t="s">
        <v>45</v>
      </c>
      <c r="AF93">
        <v>2</v>
      </c>
      <c r="AK93">
        <f t="shared" si="9"/>
        <v>92</v>
      </c>
      <c r="AL93">
        <v>29</v>
      </c>
    </row>
    <row r="94" spans="1:38" x14ac:dyDescent="0.25">
      <c r="A94">
        <f t="shared" si="5"/>
        <v>93</v>
      </c>
      <c r="B94" t="s">
        <v>2</v>
      </c>
      <c r="C94" t="s">
        <v>2</v>
      </c>
      <c r="K94">
        <f t="shared" si="6"/>
        <v>93</v>
      </c>
      <c r="L94">
        <v>4</v>
      </c>
      <c r="V94">
        <f t="shared" si="7"/>
        <v>93</v>
      </c>
      <c r="W94" t="s">
        <v>34</v>
      </c>
      <c r="X94" t="s">
        <v>36</v>
      </c>
      <c r="AD94">
        <f t="shared" si="8"/>
        <v>93</v>
      </c>
      <c r="AE94" t="s">
        <v>44</v>
      </c>
      <c r="AF94">
        <v>3</v>
      </c>
      <c r="AK94">
        <f t="shared" si="9"/>
        <v>93</v>
      </c>
      <c r="AL94">
        <v>15</v>
      </c>
    </row>
    <row r="95" spans="1:38" x14ac:dyDescent="0.25">
      <c r="A95">
        <f t="shared" si="5"/>
        <v>94</v>
      </c>
      <c r="B95" t="s">
        <v>3</v>
      </c>
      <c r="C95" t="s">
        <v>3</v>
      </c>
      <c r="K95">
        <f t="shared" si="6"/>
        <v>94</v>
      </c>
      <c r="L95">
        <v>2</v>
      </c>
      <c r="V95">
        <f t="shared" si="7"/>
        <v>94</v>
      </c>
      <c r="W95" t="s">
        <v>34</v>
      </c>
      <c r="X95" t="s">
        <v>37</v>
      </c>
      <c r="AD95">
        <f t="shared" si="8"/>
        <v>94</v>
      </c>
      <c r="AE95" t="s">
        <v>45</v>
      </c>
      <c r="AF95">
        <v>5</v>
      </c>
      <c r="AK95">
        <f t="shared" si="9"/>
        <v>94</v>
      </c>
      <c r="AL95">
        <v>48</v>
      </c>
    </row>
    <row r="96" spans="1:38" x14ac:dyDescent="0.25">
      <c r="A96">
        <f t="shared" si="5"/>
        <v>95</v>
      </c>
      <c r="B96" t="s">
        <v>3</v>
      </c>
      <c r="C96" t="s">
        <v>3</v>
      </c>
      <c r="K96">
        <f t="shared" si="6"/>
        <v>95</v>
      </c>
      <c r="L96">
        <v>5</v>
      </c>
      <c r="V96">
        <f t="shared" si="7"/>
        <v>95</v>
      </c>
      <c r="W96" t="s">
        <v>34</v>
      </c>
      <c r="X96" t="s">
        <v>36</v>
      </c>
      <c r="AD96">
        <f t="shared" si="8"/>
        <v>95</v>
      </c>
      <c r="AE96" t="s">
        <v>45</v>
      </c>
      <c r="AF96">
        <v>2</v>
      </c>
      <c r="AK96">
        <f t="shared" si="9"/>
        <v>95</v>
      </c>
      <c r="AL96">
        <v>92</v>
      </c>
    </row>
    <row r="97" spans="1:38" x14ac:dyDescent="0.25">
      <c r="A97">
        <f t="shared" si="5"/>
        <v>96</v>
      </c>
      <c r="B97" t="s">
        <v>3</v>
      </c>
      <c r="C97" t="s">
        <v>3</v>
      </c>
      <c r="K97">
        <f t="shared" si="6"/>
        <v>96</v>
      </c>
      <c r="L97">
        <v>3</v>
      </c>
      <c r="V97">
        <f t="shared" si="7"/>
        <v>96</v>
      </c>
      <c r="W97" t="s">
        <v>34</v>
      </c>
      <c r="X97" t="s">
        <v>36</v>
      </c>
      <c r="AD97">
        <f t="shared" si="8"/>
        <v>96</v>
      </c>
      <c r="AE97" t="s">
        <v>44</v>
      </c>
      <c r="AF97">
        <v>5</v>
      </c>
      <c r="AK97">
        <f t="shared" si="9"/>
        <v>96</v>
      </c>
      <c r="AL97">
        <v>85</v>
      </c>
    </row>
    <row r="98" spans="1:38" x14ac:dyDescent="0.25">
      <c r="A98">
        <f t="shared" si="5"/>
        <v>97</v>
      </c>
      <c r="B98" t="s">
        <v>2</v>
      </c>
      <c r="C98" t="s">
        <v>3</v>
      </c>
      <c r="K98">
        <f t="shared" si="6"/>
        <v>97</v>
      </c>
      <c r="L98">
        <v>4</v>
      </c>
      <c r="V98">
        <f t="shared" si="7"/>
        <v>97</v>
      </c>
      <c r="W98" t="s">
        <v>33</v>
      </c>
      <c r="X98" t="s">
        <v>36</v>
      </c>
      <c r="AD98">
        <f t="shared" si="8"/>
        <v>97</v>
      </c>
      <c r="AE98" t="s">
        <v>45</v>
      </c>
      <c r="AF98">
        <v>3</v>
      </c>
      <c r="AK98">
        <f t="shared" si="9"/>
        <v>97</v>
      </c>
      <c r="AL98">
        <v>78</v>
      </c>
    </row>
    <row r="99" spans="1:38" x14ac:dyDescent="0.25">
      <c r="A99">
        <f t="shared" si="5"/>
        <v>98</v>
      </c>
      <c r="B99" t="s">
        <v>3</v>
      </c>
      <c r="C99" t="s">
        <v>2</v>
      </c>
      <c r="K99">
        <f t="shared" si="6"/>
        <v>98</v>
      </c>
      <c r="L99">
        <v>2</v>
      </c>
      <c r="V99">
        <f t="shared" si="7"/>
        <v>98</v>
      </c>
      <c r="W99" t="s">
        <v>33</v>
      </c>
      <c r="X99" t="s">
        <v>37</v>
      </c>
      <c r="AD99">
        <f t="shared" si="8"/>
        <v>98</v>
      </c>
      <c r="AE99" t="s">
        <v>45</v>
      </c>
      <c r="AF99">
        <v>2</v>
      </c>
      <c r="AK99">
        <f t="shared" si="9"/>
        <v>98</v>
      </c>
      <c r="AL99">
        <v>6</v>
      </c>
    </row>
    <row r="100" spans="1:38" x14ac:dyDescent="0.25">
      <c r="A100">
        <f t="shared" si="5"/>
        <v>99</v>
      </c>
      <c r="B100" t="s">
        <v>2</v>
      </c>
      <c r="C100" t="s">
        <v>3</v>
      </c>
      <c r="K100">
        <f t="shared" si="6"/>
        <v>99</v>
      </c>
      <c r="L100">
        <v>1</v>
      </c>
      <c r="V100">
        <f t="shared" si="7"/>
        <v>99</v>
      </c>
      <c r="W100" t="s">
        <v>33</v>
      </c>
      <c r="X100" t="s">
        <v>36</v>
      </c>
      <c r="AD100">
        <f t="shared" si="8"/>
        <v>99</v>
      </c>
      <c r="AE100" t="s">
        <v>44</v>
      </c>
      <c r="AF100">
        <v>4</v>
      </c>
      <c r="AK100">
        <f t="shared" si="9"/>
        <v>99</v>
      </c>
      <c r="AL100">
        <v>4</v>
      </c>
    </row>
    <row r="101" spans="1:38" x14ac:dyDescent="0.25">
      <c r="A101">
        <f t="shared" si="5"/>
        <v>100</v>
      </c>
      <c r="B101" t="s">
        <v>2</v>
      </c>
      <c r="C101" t="s">
        <v>2</v>
      </c>
      <c r="K101">
        <f t="shared" si="6"/>
        <v>100</v>
      </c>
      <c r="L101">
        <v>3</v>
      </c>
      <c r="V101">
        <f t="shared" si="7"/>
        <v>100</v>
      </c>
      <c r="W101" t="s">
        <v>33</v>
      </c>
      <c r="X101" t="s">
        <v>36</v>
      </c>
      <c r="AD101">
        <f t="shared" si="8"/>
        <v>100</v>
      </c>
      <c r="AE101" t="s">
        <v>45</v>
      </c>
      <c r="AF101">
        <v>3</v>
      </c>
      <c r="AK101">
        <f t="shared" si="9"/>
        <v>100</v>
      </c>
      <c r="AL101">
        <v>72</v>
      </c>
    </row>
  </sheetData>
  <mergeCells count="2">
    <mergeCell ref="AH7:AI7"/>
    <mergeCell ref="AH8:A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2026-06-24T11:11:51Z</dcterms:modified>
</cp:coreProperties>
</file>