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3691A3355\Day26\"/>
    </mc:Choice>
  </mc:AlternateContent>
  <xr:revisionPtr revIDLastSave="0" documentId="13_ncr:1_{9AE5ED86-12F2-460D-8D22-E6C8ECC083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1" l="1"/>
  <c r="B21" i="1"/>
  <c r="B20" i="1"/>
  <c r="F3" i="1"/>
  <c r="G3" i="1"/>
</calcChain>
</file>

<file path=xl/sharedStrings.xml><?xml version="1.0" encoding="utf-8"?>
<sst xmlns="http://schemas.openxmlformats.org/spreadsheetml/2006/main" count="21" uniqueCount="19">
  <si>
    <t>A</t>
  </si>
  <si>
    <t>B</t>
  </si>
  <si>
    <t>C</t>
  </si>
  <si>
    <t>D</t>
  </si>
  <si>
    <t>E</t>
  </si>
  <si>
    <t>F</t>
  </si>
  <si>
    <t>G</t>
  </si>
  <si>
    <t>Student</t>
  </si>
  <si>
    <t>Trials (n)</t>
  </si>
  <si>
    <t>Successes/Events (x)</t>
  </si>
  <si>
    <t>Probability (p)</t>
  </si>
  <si>
    <t>Mean (λ)</t>
  </si>
  <si>
    <t>Binomial</t>
  </si>
  <si>
    <t>Poisson</t>
  </si>
  <si>
    <t>Marks</t>
  </si>
  <si>
    <t>H</t>
  </si>
  <si>
    <t>average</t>
  </si>
  <si>
    <t>stdevation</t>
  </si>
  <si>
    <t>z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</si>
</sst>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K13" sqref="K13"/>
    </sheetView>
  </sheetViews>
  <sheetFormatPr defaultRowHeight="15"/>
  <cols>
    <col min="3" max="3" width="10.85546875" customWidth="1"/>
    <col min="4" max="4" width="15.7109375" customWidth="1"/>
    <col min="5" max="5" width="12.28515625" customWidth="1"/>
    <col min="6" max="7" width="11.5703125" bestFit="1" customWidth="1"/>
    <col min="8" max="8" width="22.140625" customWidth="1"/>
  </cols>
  <sheetData>
    <row r="1" spans="1:9" ht="15.75" customHeight="1">
      <c r="A1" s="1"/>
      <c r="B1" s="3"/>
      <c r="C1" s="3"/>
      <c r="D1" s="3"/>
      <c r="E1" s="3"/>
      <c r="F1" s="1"/>
      <c r="G1" s="1"/>
    </row>
    <row r="2" spans="1:9" ht="38.25" customHeight="1">
      <c r="A2" s="4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4" t="s">
        <v>12</v>
      </c>
      <c r="G2" s="4" t="s">
        <v>13</v>
      </c>
      <c r="H2" s="2"/>
      <c r="I2" s="2"/>
    </row>
    <row r="3" spans="1:9">
      <c r="A3" s="4" t="s">
        <v>0</v>
      </c>
      <c r="B3" s="2">
        <v>10</v>
      </c>
      <c r="C3" s="2">
        <v>4</v>
      </c>
      <c r="D3" s="2">
        <v>0.5</v>
      </c>
      <c r="E3" s="2">
        <v>3</v>
      </c>
      <c r="F3" s="5">
        <f>_xlfn.BINOM.DIST(C3,B3,D3,FALSE)</f>
        <v>0.20507812500000006</v>
      </c>
      <c r="G3" s="5">
        <f>_xlfn.POISSON.DIST(C3,E3,FALSE)</f>
        <v>0.16803135574154085</v>
      </c>
    </row>
    <row r="10" spans="1:9">
      <c r="A10" s="1" t="s">
        <v>7</v>
      </c>
      <c r="B10" s="3" t="s">
        <v>14</v>
      </c>
    </row>
    <row r="11" spans="1:9">
      <c r="A11" s="4" t="s">
        <v>0</v>
      </c>
      <c r="B11" s="2">
        <v>45</v>
      </c>
    </row>
    <row r="12" spans="1:9">
      <c r="A12" s="4" t="s">
        <v>1</v>
      </c>
      <c r="B12" s="2">
        <v>52</v>
      </c>
    </row>
    <row r="13" spans="1:9">
      <c r="A13" s="4" t="s">
        <v>2</v>
      </c>
      <c r="B13" s="2">
        <v>60</v>
      </c>
    </row>
    <row r="14" spans="1:9">
      <c r="A14" s="4" t="s">
        <v>3</v>
      </c>
      <c r="B14" s="2">
        <v>68</v>
      </c>
    </row>
    <row r="15" spans="1:9">
      <c r="A15" s="4" t="s">
        <v>4</v>
      </c>
      <c r="B15" s="2">
        <v>75</v>
      </c>
    </row>
    <row r="16" spans="1:9">
      <c r="A16" s="4" t="s">
        <v>5</v>
      </c>
      <c r="B16" s="2">
        <v>82</v>
      </c>
    </row>
    <row r="17" spans="1:2">
      <c r="A17" s="4" t="s">
        <v>6</v>
      </c>
      <c r="B17" s="2">
        <v>90</v>
      </c>
    </row>
    <row r="18" spans="1:2">
      <c r="A18" s="4" t="s">
        <v>15</v>
      </c>
      <c r="B18" s="2">
        <v>98</v>
      </c>
    </row>
    <row r="20" spans="1:2">
      <c r="A20" s="4" t="s">
        <v>16</v>
      </c>
      <c r="B20">
        <f>AVERAGE(B11:B18)</f>
        <v>71.25</v>
      </c>
    </row>
    <row r="21" spans="1:2" ht="30">
      <c r="A21" s="4" t="s">
        <v>17</v>
      </c>
      <c r="B21">
        <f>STDEVA(B11:B18)</f>
        <v>18.491310700666176</v>
      </c>
    </row>
    <row r="22" spans="1:2">
      <c r="A22" s="4" t="s">
        <v>18</v>
      </c>
      <c r="B22">
        <f>(B11-B20)/B21</f>
        <v>-1.4195856867547147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TEJAVARDHAN BOMMISETTY</cp:lastModifiedBy>
  <dcterms:created xsi:type="dcterms:W3CDTF">2015-06-05T18:17:20Z</dcterms:created>
  <dcterms:modified xsi:type="dcterms:W3CDTF">2026-06-30T07:24:14Z</dcterms:modified>
</cp:coreProperties>
</file>