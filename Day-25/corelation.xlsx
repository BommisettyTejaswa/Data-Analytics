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23691A3355\Day26\"/>
    </mc:Choice>
  </mc:AlternateContent>
  <xr:revisionPtr revIDLastSave="0" documentId="13_ncr:1_{F08DE012-CD22-4A84-8FB0-13E82F1B09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1" l="1"/>
  <c r="G9" i="1"/>
  <c r="G8" i="1"/>
  <c r="F8" i="1"/>
  <c r="G7" i="1"/>
  <c r="F7" i="1"/>
  <c r="G3" i="1"/>
  <c r="G4" i="1"/>
  <c r="G5" i="1"/>
  <c r="G6" i="1"/>
  <c r="G2" i="1"/>
  <c r="F3" i="1"/>
  <c r="F4" i="1"/>
  <c r="F5" i="1"/>
  <c r="F6" i="1"/>
  <c r="F2" i="1"/>
  <c r="E6" i="1"/>
  <c r="E7" i="1" s="1"/>
  <c r="E8" i="1" s="1"/>
  <c r="E5" i="1"/>
  <c r="E4" i="1"/>
  <c r="E3" i="1"/>
  <c r="E2" i="1"/>
  <c r="B8" i="1"/>
  <c r="D6" i="1" s="1"/>
  <c r="A8" i="1"/>
  <c r="C6" i="1"/>
  <c r="C5" i="1"/>
  <c r="C4" i="1"/>
  <c r="C3" i="1"/>
  <c r="C2" i="1"/>
  <c r="D2" i="1" l="1"/>
  <c r="D5" i="1"/>
  <c r="D3" i="1"/>
  <c r="D4" i="1"/>
</calcChain>
</file>

<file path=xl/sharedStrings.xml><?xml version="1.0" encoding="utf-8"?>
<sst xmlns="http://schemas.openxmlformats.org/spreadsheetml/2006/main" count="12" uniqueCount="12">
  <si>
    <t>x</t>
  </si>
  <si>
    <t>y</t>
  </si>
  <si>
    <t>(x-x mean)</t>
  </si>
  <si>
    <t>(y-y maen)</t>
  </si>
  <si>
    <t>x mean</t>
  </si>
  <si>
    <t>y mean</t>
  </si>
  <si>
    <t>(x-x mean)*(y-y mean)</t>
  </si>
  <si>
    <t>covariance</t>
  </si>
  <si>
    <t>variance x</t>
  </si>
  <si>
    <t>variance y</t>
  </si>
  <si>
    <t>corelation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</si>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</sst>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Normal="100" workbookViewId="0">
      <selection activeCell="J24" sqref="J24"/>
    </sheetView>
  </sheetViews>
  <sheetFormatPr defaultRowHeight="15" x14ac:dyDescent="0.25"/>
  <cols>
    <col min="4" max="4" width="13.5703125" customWidth="1"/>
    <col min="5" max="5" width="20.5703125" customWidth="1"/>
    <col min="6" max="6" width="12.42578125" customWidth="1"/>
    <col min="7" max="7" width="1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8</v>
      </c>
      <c r="G1" s="1" t="s">
        <v>9</v>
      </c>
    </row>
    <row r="2" spans="1:11" x14ac:dyDescent="0.25">
      <c r="A2">
        <v>2</v>
      </c>
      <c r="B2">
        <v>4</v>
      </c>
      <c r="C2">
        <f>A2-A8</f>
        <v>-0.39999999999999991</v>
      </c>
      <c r="D2">
        <f>B2-B8</f>
        <v>0.10000000000000009</v>
      </c>
      <c r="E2">
        <f>C2*D2</f>
        <v>-4.0000000000000029E-2</v>
      </c>
      <c r="F2">
        <f>C2*C2</f>
        <v>0.15999999999999992</v>
      </c>
      <c r="G2">
        <f>D2*D2</f>
        <v>1.0000000000000018E-2</v>
      </c>
    </row>
    <row r="3" spans="1:11" x14ac:dyDescent="0.25">
      <c r="A3">
        <v>3</v>
      </c>
      <c r="B3">
        <v>4.5</v>
      </c>
      <c r="C3">
        <f>A3-A8</f>
        <v>0.60000000000000009</v>
      </c>
      <c r="D3">
        <f>B3-B8</f>
        <v>0.60000000000000009</v>
      </c>
      <c r="E3">
        <f>C3*D3</f>
        <v>0.3600000000000001</v>
      </c>
      <c r="F3">
        <f t="shared" ref="F3:F6" si="0">C3*C3</f>
        <v>0.3600000000000001</v>
      </c>
      <c r="G3">
        <f t="shared" ref="G3:G6" si="1">D3*D3</f>
        <v>0.3600000000000001</v>
      </c>
    </row>
    <row r="4" spans="1:11" x14ac:dyDescent="0.25">
      <c r="A4">
        <v>6</v>
      </c>
      <c r="B4">
        <v>6</v>
      </c>
      <c r="C4">
        <f>A4-A8</f>
        <v>3.6</v>
      </c>
      <c r="D4">
        <f>B4-B8</f>
        <v>2.1</v>
      </c>
      <c r="E4">
        <f>C4*D4</f>
        <v>7.5600000000000005</v>
      </c>
      <c r="F4">
        <f t="shared" si="0"/>
        <v>12.96</v>
      </c>
      <c r="G4">
        <f t="shared" si="1"/>
        <v>4.41</v>
      </c>
    </row>
    <row r="5" spans="1:11" x14ac:dyDescent="0.25">
      <c r="A5">
        <v>0</v>
      </c>
      <c r="B5">
        <v>3</v>
      </c>
      <c r="C5">
        <f>A5-A8</f>
        <v>-2.4</v>
      </c>
      <c r="D5">
        <f>B5-B8</f>
        <v>-0.89999999999999991</v>
      </c>
      <c r="E5">
        <f>C5*D5</f>
        <v>2.1599999999999997</v>
      </c>
      <c r="F5">
        <f t="shared" si="0"/>
        <v>5.76</v>
      </c>
      <c r="G5">
        <f t="shared" si="1"/>
        <v>0.80999999999999983</v>
      </c>
    </row>
    <row r="6" spans="1:11" x14ac:dyDescent="0.25">
      <c r="A6">
        <v>1</v>
      </c>
      <c r="B6">
        <v>2</v>
      </c>
      <c r="C6">
        <f>A6-A8</f>
        <v>-1.4</v>
      </c>
      <c r="D6">
        <f>B6-B8</f>
        <v>-1.9</v>
      </c>
      <c r="E6">
        <f>C6*D6</f>
        <v>2.6599999999999997</v>
      </c>
      <c r="F6">
        <f t="shared" si="0"/>
        <v>1.9599999999999997</v>
      </c>
      <c r="G6">
        <f t="shared" si="1"/>
        <v>3.61</v>
      </c>
    </row>
    <row r="7" spans="1:11" x14ac:dyDescent="0.25">
      <c r="A7" s="1" t="s">
        <v>4</v>
      </c>
      <c r="B7" s="1" t="s">
        <v>5</v>
      </c>
      <c r="E7">
        <f>E2+E3+E4+E5+E6</f>
        <v>12.700000000000001</v>
      </c>
      <c r="F7">
        <f>SUM(F2:F6)</f>
        <v>21.200000000000003</v>
      </c>
      <c r="G7">
        <f>SUM(G2:G6)</f>
        <v>9.1999999999999993</v>
      </c>
    </row>
    <row r="8" spans="1:11" x14ac:dyDescent="0.25">
      <c r="A8">
        <f>AVERAGE(A2:A6)</f>
        <v>2.4</v>
      </c>
      <c r="B8">
        <f>AVERAGE(B2:B6)</f>
        <v>3.9</v>
      </c>
      <c r="D8" s="1" t="s">
        <v>7</v>
      </c>
      <c r="E8">
        <f>E7/4</f>
        <v>3.1750000000000003</v>
      </c>
      <c r="F8">
        <f>SQRT(F7/4)</f>
        <v>2.3021728866442679</v>
      </c>
      <c r="G8">
        <f>SQRT(G7/4)</f>
        <v>1.51657508881031</v>
      </c>
      <c r="K8" t="s">
        <v>11</v>
      </c>
    </row>
    <row r="9" spans="1:11" x14ac:dyDescent="0.25">
      <c r="F9" s="1" t="s">
        <v>10</v>
      </c>
      <c r="G9">
        <f>E8/(F8*G8)</f>
        <v>0.90937262582535017</v>
      </c>
    </row>
    <row r="10" spans="1:11" x14ac:dyDescent="0.25">
      <c r="G10">
        <f>CORREL(A2:A6,B2:B6)</f>
        <v>0.90937262582535006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TEJAVARDHAN BOMMISETTY</cp:lastModifiedBy>
  <dcterms:created xsi:type="dcterms:W3CDTF">2015-06-05T18:17:20Z</dcterms:created>
  <dcterms:modified xsi:type="dcterms:W3CDTF">2026-06-30T10:27:04Z</dcterms:modified>
</cp:coreProperties>
</file>