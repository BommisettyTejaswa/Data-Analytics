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65149ADC-F341-491F-B79F-95C772A23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9" i="1"/>
  <c r="G38" i="1"/>
  <c r="G37" i="1"/>
  <c r="G36" i="1"/>
  <c r="G34" i="1"/>
  <c r="G33" i="1"/>
  <c r="I21" i="1"/>
  <c r="I20" i="1"/>
  <c r="G20" i="1"/>
  <c r="E20" i="1"/>
  <c r="C20" i="1"/>
  <c r="D5" i="1"/>
  <c r="D6" i="1"/>
  <c r="D7" i="1"/>
  <c r="U6" i="1"/>
  <c r="U5" i="1"/>
  <c r="K16" i="1"/>
  <c r="D16" i="1"/>
  <c r="P5" i="1"/>
  <c r="J6" i="1"/>
  <c r="J5" i="1"/>
</calcChain>
</file>

<file path=xl/sharedStrings.xml><?xml version="1.0" encoding="utf-8"?>
<sst xmlns="http://schemas.openxmlformats.org/spreadsheetml/2006/main" count="59" uniqueCount="37">
  <si>
    <t>FIND</t>
  </si>
  <si>
    <t>REPLACE</t>
  </si>
  <si>
    <t>SUBSTITUTE</t>
  </si>
  <si>
    <t>MID</t>
  </si>
  <si>
    <t>SEARCH</t>
  </si>
  <si>
    <t>CONCATE</t>
  </si>
  <si>
    <t>OLD</t>
  </si>
  <si>
    <t>NEW</t>
  </si>
  <si>
    <t>PQRS-1234-009</t>
  </si>
  <si>
    <t>HELLO</t>
  </si>
  <si>
    <t>WORLD</t>
  </si>
  <si>
    <t>1</t>
  </si>
  <si>
    <t>2</t>
  </si>
  <si>
    <t>PRODUCT</t>
  </si>
  <si>
    <t>FACT</t>
  </si>
  <si>
    <t>ROUND</t>
  </si>
  <si>
    <t>MOD</t>
  </si>
  <si>
    <t>DATE</t>
  </si>
  <si>
    <t>Mouse</t>
  </si>
  <si>
    <t>Keyboard</t>
  </si>
  <si>
    <t>Red</t>
  </si>
  <si>
    <t>Blue</t>
  </si>
  <si>
    <t>Yellow</t>
  </si>
  <si>
    <t>AP</t>
  </si>
  <si>
    <t>MH</t>
  </si>
  <si>
    <t>TOTAL</t>
  </si>
  <si>
    <t>Red+AP</t>
  </si>
  <si>
    <t>Red+AP+Mouse</t>
  </si>
  <si>
    <t>Avg</t>
  </si>
  <si>
    <t>Avg Red</t>
  </si>
  <si>
    <t>Avg Red+AP</t>
  </si>
  <si>
    <t>Avg Red+AP+Mouse</t>
  </si>
  <si>
    <t>300</t>
  </si>
  <si>
    <t>Product</t>
  </si>
  <si>
    <t>Color</t>
  </si>
  <si>
    <t>Region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</si>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</sst>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</cellStyleXfs>
  <cellXfs count="19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Fill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4" fillId="4" borderId="2" xfId="3" applyAlignment="1">
      <alignment horizontal="center"/>
    </xf>
    <xf numFmtId="0" fontId="2" fillId="2" borderId="0" xfId="1" applyAlignment="1">
      <alignment horizontal="center"/>
    </xf>
    <xf numFmtId="0" fontId="5" fillId="8" borderId="0" xfId="7" applyAlignment="1">
      <alignment horizontal="center"/>
    </xf>
    <xf numFmtId="0" fontId="5" fillId="9" borderId="0" xfId="8" applyAlignment="1">
      <alignment horizontal="center"/>
    </xf>
    <xf numFmtId="0" fontId="3" fillId="3" borderId="1" xfId="2" applyAlignment="1">
      <alignment horizontal="center"/>
    </xf>
    <xf numFmtId="0" fontId="1" fillId="6" borderId="0" xfId="5" applyAlignment="1">
      <alignment horizontal="center"/>
    </xf>
    <xf numFmtId="14" fontId="0" fillId="0" borderId="0" xfId="0" applyNumberFormat="1"/>
    <xf numFmtId="0" fontId="5" fillId="5" borderId="0" xfId="4"/>
    <xf numFmtId="0" fontId="5" fillId="7" borderId="0" xfId="6"/>
    <xf numFmtId="0" fontId="5" fillId="8" borderId="0" xfId="7"/>
    <xf numFmtId="0" fontId="5" fillId="9" borderId="0" xfId="8"/>
  </cellXfs>
  <cellStyles count="9">
    <cellStyle name="20% - Accent1" xfId="5" builtinId="30"/>
    <cellStyle name="Accent1" xfId="4" builtinId="29"/>
    <cellStyle name="Accent2" xfId="6" builtinId="33"/>
    <cellStyle name="Accent3" xfId="7" builtinId="37"/>
    <cellStyle name="Accent4" xfId="8" builtinId="41"/>
    <cellStyle name="Check Cell" xfId="3" builtinId="23"/>
    <cellStyle name="Good" xfId="1" builtinId="26"/>
    <cellStyle name="Normal" xfId="0" builtinId="0"/>
    <cellStyle name="Output" xfId="2" builtinId="21"/>
  </cellStyles>
  <dxfs count="7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79085-89FC-48DE-8F9C-DB510643D5A0}" name="Table1" displayName="Table1" ref="C4:D7" totalsRowShown="0" headerRowDxfId="6">
  <autoFilter ref="C4:D7" xr:uid="{D8079085-89FC-48DE-8F9C-DB510643D5A0}"/>
  <tableColumns count="2">
    <tableColumn id="1" xr3:uid="{1EBC8974-B3E7-4B18-BE0C-D081F4E52D7A}" name="OLD"/>
    <tableColumn id="2" xr3:uid="{2FC98BC8-AE8F-4D46-8452-9C79F4FB5D13}" name="N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C0E4C-1EB3-4D53-88BB-05DD288C6B28}" name="Table2" displayName="Table2" ref="I4:J6" totalsRowShown="0" headerRowDxfId="5">
  <autoFilter ref="I4:J6" xr:uid="{E0EC0E4C-1EB3-4D53-88BB-05DD288C6B28}"/>
  <tableColumns count="2">
    <tableColumn id="1" xr3:uid="{9DEE9FF9-7D52-4857-837A-1D5838CDAA3B}" name="OLD"/>
    <tableColumn id="2" xr3:uid="{3268270C-010A-49F2-BBB8-C27E9C342F9B}" name="NEW">
      <calculatedColumnFormula>REPLACE(I4,11,3,"008")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FD468-D409-407B-962C-C3596407550C}" name="Table3" displayName="Table3" ref="O4:P5" totalsRowShown="0" headerRowDxfId="4">
  <autoFilter ref="O4:P5" xr:uid="{258FD468-D409-407B-962C-C3596407550C}"/>
  <tableColumns count="2">
    <tableColumn id="1" xr3:uid="{9168B3C1-0445-483E-9A6B-270470D90247}" name="OLD"/>
    <tableColumn id="2" xr3:uid="{112302E7-F03A-4FC7-AFDF-EBBDE12BC2C7}" name="NEW">
      <calculatedColumnFormula>SUBSTITUTE(O5,"PQRS","ABCD")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4DD0F4-AE26-4A33-9217-490BC20CA4DF}" name="Table4" displayName="Table4" ref="T4:U6" totalsRowShown="0" headerRowDxfId="3">
  <autoFilter ref="T4:U6" xr:uid="{7A4DD0F4-AE26-4A33-9217-490BC20CA4DF}"/>
  <tableColumns count="2">
    <tableColumn id="1" xr3:uid="{ADE91CE1-FD79-4936-9395-E7D121B77F01}" name="OLD"/>
    <tableColumn id="2" xr3:uid="{64FE4D30-C8F0-4C8E-95A1-7AA8B25F1239}" name="NEW">
      <calculatedColumnFormula>MID(T4,11,3)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5E2FC0-849A-4047-9B52-6A9BE0E3EEB3}" name="Table5" displayName="Table5" ref="C15:D16" totalsRowShown="0" headerRowDxfId="2">
  <autoFilter ref="C15:D16" xr:uid="{705E2FC0-849A-4047-9B52-6A9BE0E3EEB3}"/>
  <tableColumns count="2">
    <tableColumn id="1" xr3:uid="{7F737ED9-F28E-42AF-8405-B11E94252A0D}" name="OLD"/>
    <tableColumn id="2" xr3:uid="{93C870A9-9534-4A2F-8519-6C99CB2E4B09}" name="NEW">
      <calculatedColumnFormula>SEARCH("009",C16)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950F9-43FF-4807-A779-3F6AA8F8695C}" name="Table6" displayName="Table6" ref="I15:K16" totalsRowShown="0" headerRowDxfId="1">
  <autoFilter ref="I15:K16" xr:uid="{279950F9-43FF-4807-A779-3F6AA8F8695C}"/>
  <tableColumns count="3">
    <tableColumn id="1" xr3:uid="{67E7C638-3CE9-4B00-A62F-3CD3010731F8}" name="1"/>
    <tableColumn id="2" xr3:uid="{498FBE35-1CF6-4E97-86D6-75E918364451}" name="2"/>
    <tableColumn id="3" xr3:uid="{DEC91DE1-E014-40C5-988A-7FCD6BE7E03D}" name="NEW">
      <calculatedColumnFormula>_xlfn.CONCAT(I16,J16)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3E299A-07BC-4AD9-94BE-C063AD9F40A9}" name="Table7" displayName="Table7" ref="C26:G31" totalsRowShown="0">
  <autoFilter ref="C26:G31" xr:uid="{713E299A-07BC-4AD9-94BE-C063AD9F40A9}"/>
  <tableColumns count="5">
    <tableColumn id="1" xr3:uid="{897F20CB-0AD1-43C5-8981-90F3A6705653}" name="DATE" dataDxfId="0"/>
    <tableColumn id="2" xr3:uid="{35E5501B-3ECC-42E4-9672-A303E899B12D}" name="Product"/>
    <tableColumn id="3" xr3:uid="{CF35DCD4-921E-4FCA-B599-A90055CBAE5D}" name="Color"/>
    <tableColumn id="4" xr3:uid="{12765678-7F37-4BDB-AF03-0F704CE8D13E}" name="Region"/>
    <tableColumn id="5" xr3:uid="{2C3042DF-EABB-48E9-9CAF-C28D5733D497}" name="Valu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03613F-DA1E-432E-B4D8-4DF081A5A04E}" name="Table8" displayName="Table8" ref="F32:G39" totalsRowShown="0">
  <autoFilter ref="F32:G39" xr:uid="{8803613F-DA1E-432E-B4D8-4DF081A5A04E}"/>
  <tableColumns count="2">
    <tableColumn id="1" xr3:uid="{B89D84F4-934E-4812-954B-57A906D4927E}" name="TOTAL"/>
    <tableColumn id="2" xr3:uid="{543DCDC0-EC7D-4EA8-AEBE-92BB5577BEA1}" name="3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9"/>
  <sheetViews>
    <sheetView tabSelected="1" workbookViewId="0">
      <selection activeCell="L25" sqref="L25:L26"/>
    </sheetView>
  </sheetViews>
  <sheetFormatPr defaultRowHeight="15" x14ac:dyDescent="0.25"/>
  <cols>
    <col min="3" max="3" width="16" customWidth="1"/>
    <col min="4" max="4" width="15.5703125" customWidth="1"/>
    <col min="6" max="6" width="19.5703125" customWidth="1"/>
    <col min="7" max="7" width="10.42578125" customWidth="1"/>
    <col min="9" max="9" width="18.140625" customWidth="1"/>
    <col min="10" max="10" width="18.28515625" customWidth="1"/>
    <col min="11" max="11" width="16.140625" customWidth="1"/>
    <col min="15" max="15" width="15.42578125" customWidth="1"/>
    <col min="16" max="16" width="17" customWidth="1"/>
    <col min="20" max="20" width="14.7109375" customWidth="1"/>
    <col min="21" max="21" width="17.85546875" customWidth="1"/>
  </cols>
  <sheetData>
    <row r="2" spans="3:21" ht="15.75" thickBot="1" x14ac:dyDescent="0.3"/>
    <row r="3" spans="3:21" ht="16.5" thickTop="1" thickBot="1" x14ac:dyDescent="0.3">
      <c r="C3" s="13" t="s">
        <v>0</v>
      </c>
      <c r="D3" s="13"/>
      <c r="I3" s="12" t="s">
        <v>1</v>
      </c>
      <c r="J3" s="12"/>
      <c r="O3" s="8" t="s">
        <v>2</v>
      </c>
      <c r="P3" s="8"/>
      <c r="T3" s="9" t="s">
        <v>3</v>
      </c>
      <c r="U3" s="9"/>
    </row>
    <row r="4" spans="3:21" ht="15.75" thickTop="1" x14ac:dyDescent="0.25">
      <c r="C4" s="2" t="s">
        <v>6</v>
      </c>
      <c r="D4" s="2" t="s">
        <v>7</v>
      </c>
      <c r="I4" s="3" t="s">
        <v>6</v>
      </c>
      <c r="J4" s="3" t="s">
        <v>7</v>
      </c>
      <c r="O4" s="4" t="s">
        <v>6</v>
      </c>
      <c r="P4" s="5" t="s">
        <v>7</v>
      </c>
      <c r="T4" s="6" t="s">
        <v>6</v>
      </c>
      <c r="U4" s="6" t="s">
        <v>7</v>
      </c>
    </row>
    <row r="5" spans="3:21" x14ac:dyDescent="0.25">
      <c r="C5" t="s">
        <v>8</v>
      </c>
      <c r="D5">
        <f>FIND("PQRS",C5)</f>
        <v>1</v>
      </c>
      <c r="I5" t="s">
        <v>8</v>
      </c>
      <c r="J5" t="str">
        <f>REPLACE(I5,6,4,"5678")</f>
        <v>PQRS-5678-009</v>
      </c>
      <c r="O5" t="s">
        <v>8</v>
      </c>
      <c r="P5" t="str">
        <f>SUBSTITUTE(O5,"PQRS","ABCD")</f>
        <v>ABCD-1234-009</v>
      </c>
      <c r="T5" t="s">
        <v>8</v>
      </c>
      <c r="U5" t="str">
        <f>MID(T5,6,4)</f>
        <v>1234</v>
      </c>
    </row>
    <row r="6" spans="3:21" x14ac:dyDescent="0.25">
      <c r="D6">
        <f>FIND("009",C5)</f>
        <v>11</v>
      </c>
      <c r="J6" t="str">
        <f>REPLACE(I5,11,3,"008")</f>
        <v>PQRS-1234-008</v>
      </c>
      <c r="U6" t="str">
        <f>MID(T5,11,3)</f>
        <v>009</v>
      </c>
    </row>
    <row r="7" spans="3:21" x14ac:dyDescent="0.25">
      <c r="D7">
        <f>FIND("3",C5)</f>
        <v>8</v>
      </c>
    </row>
    <row r="14" spans="3:21" x14ac:dyDescent="0.25">
      <c r="C14" s="11" t="s">
        <v>4</v>
      </c>
      <c r="D14" s="11"/>
      <c r="I14" s="10" t="s">
        <v>5</v>
      </c>
      <c r="J14" s="10"/>
      <c r="K14" s="10"/>
    </row>
    <row r="15" spans="3:21" x14ac:dyDescent="0.25">
      <c r="C15" s="1" t="s">
        <v>6</v>
      </c>
      <c r="D15" s="1" t="s">
        <v>7</v>
      </c>
      <c r="I15" s="7" t="s">
        <v>11</v>
      </c>
      <c r="J15" s="7" t="s">
        <v>12</v>
      </c>
      <c r="K15" s="7" t="s">
        <v>7</v>
      </c>
    </row>
    <row r="16" spans="3:21" x14ac:dyDescent="0.25">
      <c r="C16" t="s">
        <v>8</v>
      </c>
      <c r="D16">
        <f>SEARCH("009",C16)</f>
        <v>11</v>
      </c>
      <c r="I16" t="s">
        <v>9</v>
      </c>
      <c r="J16" t="s">
        <v>10</v>
      </c>
      <c r="K16" t="str">
        <f>_xlfn.CONCAT(I16,J16)</f>
        <v>HELLOWORLD</v>
      </c>
    </row>
    <row r="19" spans="1:9" x14ac:dyDescent="0.25">
      <c r="A19">
        <v>5</v>
      </c>
      <c r="C19" s="15" t="s">
        <v>13</v>
      </c>
      <c r="E19" s="16" t="s">
        <v>14</v>
      </c>
      <c r="G19" s="17" t="s">
        <v>15</v>
      </c>
      <c r="I19" s="18" t="s">
        <v>16</v>
      </c>
    </row>
    <row r="20" spans="1:9" x14ac:dyDescent="0.25">
      <c r="A20">
        <v>7</v>
      </c>
      <c r="C20">
        <f>PRODUCT(A19:A21)</f>
        <v>315</v>
      </c>
      <c r="E20">
        <f>FACT(A19)</f>
        <v>120</v>
      </c>
      <c r="G20">
        <f>ROUND(SQRT(E20),2)</f>
        <v>10.95</v>
      </c>
      <c r="I20">
        <f>MOD(E20,3)</f>
        <v>0</v>
      </c>
    </row>
    <row r="21" spans="1:9" x14ac:dyDescent="0.25">
      <c r="A21">
        <v>9</v>
      </c>
      <c r="I21">
        <f>MOD(A19,2)</f>
        <v>1</v>
      </c>
    </row>
    <row r="26" spans="1:9" x14ac:dyDescent="0.25">
      <c r="C26" t="s">
        <v>17</v>
      </c>
      <c r="D26" t="s">
        <v>33</v>
      </c>
      <c r="E26" t="s">
        <v>34</v>
      </c>
      <c r="F26" t="s">
        <v>35</v>
      </c>
      <c r="G26" t="s">
        <v>36</v>
      </c>
    </row>
    <row r="27" spans="1:9" x14ac:dyDescent="0.25">
      <c r="C27" s="14">
        <v>46174</v>
      </c>
      <c r="D27" t="s">
        <v>18</v>
      </c>
      <c r="E27" t="s">
        <v>20</v>
      </c>
      <c r="F27" t="s">
        <v>23</v>
      </c>
      <c r="G27">
        <v>100</v>
      </c>
    </row>
    <row r="28" spans="1:9" x14ac:dyDescent="0.25">
      <c r="C28" s="14">
        <v>46174</v>
      </c>
      <c r="D28" t="s">
        <v>19</v>
      </c>
      <c r="E28" t="s">
        <v>21</v>
      </c>
      <c r="F28" t="s">
        <v>24</v>
      </c>
      <c r="G28">
        <v>50</v>
      </c>
    </row>
    <row r="29" spans="1:9" x14ac:dyDescent="0.25">
      <c r="C29" s="14">
        <v>46175</v>
      </c>
      <c r="D29" t="s">
        <v>18</v>
      </c>
      <c r="E29" t="s">
        <v>20</v>
      </c>
      <c r="F29" t="s">
        <v>23</v>
      </c>
      <c r="G29">
        <v>100</v>
      </c>
    </row>
    <row r="30" spans="1:9" x14ac:dyDescent="0.25">
      <c r="C30" s="14">
        <v>46176</v>
      </c>
      <c r="D30" t="s">
        <v>18</v>
      </c>
      <c r="E30" t="s">
        <v>20</v>
      </c>
      <c r="F30" t="s">
        <v>23</v>
      </c>
      <c r="G30">
        <v>30</v>
      </c>
    </row>
    <row r="31" spans="1:9" x14ac:dyDescent="0.25">
      <c r="C31" s="14">
        <v>46177</v>
      </c>
      <c r="D31" t="s">
        <v>19</v>
      </c>
      <c r="E31" t="s">
        <v>22</v>
      </c>
      <c r="F31" t="s">
        <v>24</v>
      </c>
      <c r="G31">
        <v>20</v>
      </c>
    </row>
    <row r="32" spans="1:9" x14ac:dyDescent="0.25">
      <c r="F32" t="s">
        <v>25</v>
      </c>
      <c r="G32" t="s">
        <v>32</v>
      </c>
    </row>
    <row r="33" spans="6:7" x14ac:dyDescent="0.25">
      <c r="F33" t="s">
        <v>20</v>
      </c>
      <c r="G33">
        <f>SUMIF(E27:E31,"Red",G27:G31)</f>
        <v>230</v>
      </c>
    </row>
    <row r="34" spans="6:7" x14ac:dyDescent="0.25">
      <c r="F34" t="s">
        <v>26</v>
      </c>
      <c r="G34">
        <f>SUMIFS(G27:G31,E27:E31,"Red",F27:F31,"AP")</f>
        <v>230</v>
      </c>
    </row>
    <row r="35" spans="6:7" x14ac:dyDescent="0.25">
      <c r="F35" t="s">
        <v>27</v>
      </c>
      <c r="G35">
        <f>SUMIFS(G27:G31,E27:E31,"Red",F27:F31,"AP",D27:D31,"Mouse")</f>
        <v>230</v>
      </c>
    </row>
    <row r="36" spans="6:7" x14ac:dyDescent="0.25">
      <c r="F36" t="s">
        <v>28</v>
      </c>
      <c r="G36">
        <f>AVERAGE(G27:G31)</f>
        <v>60</v>
      </c>
    </row>
    <row r="37" spans="6:7" x14ac:dyDescent="0.25">
      <c r="F37" t="s">
        <v>29</v>
      </c>
      <c r="G37">
        <f>AVERAGEIF(F27:F31,F27,G27:G31)</f>
        <v>76.666666666666671</v>
      </c>
    </row>
    <row r="38" spans="6:7" x14ac:dyDescent="0.25">
      <c r="F38" t="s">
        <v>30</v>
      </c>
      <c r="G38">
        <f>AVERAGEIFS(G27:G31,F27:F31,F27,E27:E31,E27)</f>
        <v>76.666666666666671</v>
      </c>
    </row>
    <row r="39" spans="6:7" x14ac:dyDescent="0.25">
      <c r="F39" t="s">
        <v>31</v>
      </c>
      <c r="G39">
        <f>AVERAGEIFS(G27:G31,F27:F31,F27,E27:E31,E27,D27:D31,D27)</f>
        <v>76.666666666666671</v>
      </c>
    </row>
  </sheetData>
  <mergeCells count="6">
    <mergeCell ref="O3:P3"/>
    <mergeCell ref="T3:U3"/>
    <mergeCell ref="C14:D14"/>
    <mergeCell ref="I14:K14"/>
    <mergeCell ref="C3:D3"/>
    <mergeCell ref="I3:J3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2026-06-01T11:15:18Z</dcterms:modified>
</cp:coreProperties>
</file>