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8\"/>
    </mc:Choice>
  </mc:AlternateContent>
  <xr:revisionPtr revIDLastSave="0" documentId="13_ncr:1_{EEC6231B-7AD1-4FA2-B5B7-32A42852BA5D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Corelation" sheetId="1" r:id="rId1"/>
    <sheet name="Covariance" sheetId="9" r:id="rId2"/>
    <sheet name="Anova Single Factor" sheetId="5" r:id="rId3"/>
    <sheet name="Anova  Two-Factor With Replicat" sheetId="6" r:id="rId4"/>
    <sheet name="Anova  Two-Factor Without Repli" sheetId="7" r:id="rId5"/>
    <sheet name="Descriptive Statistic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9" l="1"/>
  <c r="K5" i="9"/>
  <c r="J4" i="9"/>
</calcChain>
</file>

<file path=xl/sharedStrings.xml><?xml version="1.0" encoding="utf-8"?>
<sst xmlns="http://schemas.openxmlformats.org/spreadsheetml/2006/main" count="263" uniqueCount="74">
  <si>
    <t>Student ID</t>
  </si>
  <si>
    <t>Study Hours</t>
  </si>
  <si>
    <t>Attendance %</t>
  </si>
  <si>
    <t>Practice Tests</t>
  </si>
  <si>
    <t>Sleep Hours</t>
  </si>
  <si>
    <t>Exam Score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</si>
  <si>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</si>
  <si>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</si>
  <si>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</si>
  <si>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</si>
  <si>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</si>
  <si>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</si>
  <si>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</si>
  <si>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</si>
  <si>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</si>
  <si>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</si>
  <si>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</si>
  <si>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</si>
  <si>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</si>
  <si>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</si>
  <si>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</si>
  <si>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</si>
  <si>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</si>
  <si>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</si>
  <si>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Method A</t>
  </si>
  <si>
    <t>Method B</t>
  </si>
  <si>
    <t>Method C</t>
  </si>
  <si>
    <t>Method D</t>
  </si>
  <si>
    <t>Store Region</t>
  </si>
  <si>
    <t>Product A</t>
  </si>
  <si>
    <t>Product B</t>
  </si>
  <si>
    <t>Product C</t>
  </si>
  <si>
    <t>North</t>
  </si>
  <si>
    <t>South</t>
  </si>
  <si>
    <t>East</t>
  </si>
  <si>
    <t>West</t>
  </si>
  <si>
    <t>Rows per sample</t>
  </si>
  <si>
    <t>Use labels</t>
  </si>
  <si>
    <t>Yes</t>
  </si>
  <si>
    <t>Anova: Two-Factor With Replication</t>
  </si>
  <si>
    <t>Sample</t>
  </si>
  <si>
    <t>Columns</t>
  </si>
  <si>
    <t>Interaction</t>
  </si>
  <si>
    <t>Within</t>
  </si>
  <si>
    <t>Region</t>
  </si>
  <si>
    <t>Q1</t>
  </si>
  <si>
    <t>Q2</t>
  </si>
  <si>
    <t>Q3</t>
  </si>
  <si>
    <t>Q4</t>
  </si>
  <si>
    <t>Analysis Type</t>
  </si>
  <si>
    <t>Two-Factor Without Replication</t>
  </si>
  <si>
    <t>Anova: Two-Factor Without Replication</t>
  </si>
  <si>
    <t>Rows</t>
  </si>
  <si>
    <t>Error</t>
  </si>
  <si>
    <t>Sales</t>
  </si>
  <si>
    <t>Profit</t>
  </si>
  <si>
    <t>Units Sold</t>
  </si>
  <si>
    <t>Customer Rating</t>
  </si>
  <si>
    <t>Descriptive Statistics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</si>
  <si>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</si>
  <si>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</si>
  <si>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</si>
  <si>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</si>
  <si>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</si>
  <si>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</si>
  <si>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</si>
  <si>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</si>
  <si>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</si>
  <si>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</si>
  <si>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</si>
  <si>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Advertising Spend</t>
  </si>
  <si>
    <t>Sales Revenue</t>
  </si>
  <si>
    <t>Website Visits</t>
  </si>
  <si>
    <t>Covariance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</si>
</sst>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1" fillId="3" borderId="1" xfId="0" applyFont="1" applyFill="1" applyBorder="1"/>
    <xf numFmtId="0" fontId="3" fillId="0" borderId="4" xfId="0" applyFont="1" applyFill="1" applyBorder="1" applyAlignment="1">
      <alignment horizontal="right"/>
    </xf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DE5864-CC34-4C9D-8B33-A99E274629CE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p--PyTNiR6V7kYBzUivZ1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selection activeCell="S10" sqref="S10"/>
    </sheetView>
  </sheetViews>
  <sheetFormatPr defaultRowHeight="15" x14ac:dyDescent="0.25"/>
  <cols>
    <col min="1" max="1" width="10.28515625" bestFit="1" customWidth="1"/>
    <col min="2" max="2" width="11.5703125" bestFit="1" customWidth="1"/>
    <col min="3" max="3" width="13.42578125" bestFit="1" customWidth="1"/>
    <col min="4" max="4" width="13.140625" bestFit="1" customWidth="1"/>
    <col min="5" max="5" width="11.5703125" bestFit="1" customWidth="1"/>
    <col min="6" max="6" width="11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7" ht="15.75" thickBot="1" x14ac:dyDescent="0.3">
      <c r="A2" s="2">
        <v>1</v>
      </c>
      <c r="B2" s="2">
        <v>2</v>
      </c>
      <c r="C2" s="3">
        <v>0.68</v>
      </c>
      <c r="D2" s="2">
        <v>1</v>
      </c>
      <c r="E2" s="2">
        <v>5.5</v>
      </c>
      <c r="F2" s="2">
        <v>42</v>
      </c>
    </row>
    <row r="3" spans="1:17" x14ac:dyDescent="0.25">
      <c r="A3" s="2">
        <v>2</v>
      </c>
      <c r="B3" s="2">
        <v>3</v>
      </c>
      <c r="C3" s="3">
        <v>0.72</v>
      </c>
      <c r="D3" s="2">
        <v>1</v>
      </c>
      <c r="E3" s="2">
        <v>6</v>
      </c>
      <c r="F3" s="2">
        <v>48</v>
      </c>
      <c r="K3" s="6"/>
      <c r="L3" s="6" t="s">
        <v>0</v>
      </c>
      <c r="M3" s="6" t="s">
        <v>1</v>
      </c>
      <c r="N3" s="6" t="s">
        <v>2</v>
      </c>
      <c r="O3" s="6" t="s">
        <v>3</v>
      </c>
      <c r="P3" s="6" t="s">
        <v>4</v>
      </c>
      <c r="Q3" s="6" t="s">
        <v>5</v>
      </c>
    </row>
    <row r="4" spans="1:17" x14ac:dyDescent="0.25">
      <c r="A4" s="2">
        <v>3</v>
      </c>
      <c r="B4" s="2">
        <v>4</v>
      </c>
      <c r="C4" s="3">
        <v>0.75</v>
      </c>
      <c r="D4" s="2">
        <v>2</v>
      </c>
      <c r="E4" s="2">
        <v>6.5</v>
      </c>
      <c r="F4" s="2">
        <v>52</v>
      </c>
      <c r="K4" s="4" t="s">
        <v>0</v>
      </c>
      <c r="L4" s="4">
        <v>1</v>
      </c>
      <c r="M4" s="4"/>
      <c r="N4" s="4"/>
      <c r="O4" s="4"/>
      <c r="P4" s="4"/>
      <c r="Q4" s="4"/>
    </row>
    <row r="5" spans="1:17" x14ac:dyDescent="0.25">
      <c r="A5" s="2">
        <v>4</v>
      </c>
      <c r="B5" s="2">
        <v>5</v>
      </c>
      <c r="C5" s="3">
        <v>0.78</v>
      </c>
      <c r="D5" s="2">
        <v>2</v>
      </c>
      <c r="E5" s="2">
        <v>6</v>
      </c>
      <c r="F5" s="2">
        <v>58</v>
      </c>
      <c r="K5" s="4" t="s">
        <v>1</v>
      </c>
      <c r="L5" s="4">
        <v>0.99999999999999978</v>
      </c>
      <c r="M5" s="4">
        <v>1</v>
      </c>
      <c r="N5" s="4"/>
      <c r="O5" s="4"/>
      <c r="P5" s="4"/>
      <c r="Q5" s="4"/>
    </row>
    <row r="6" spans="1:17" x14ac:dyDescent="0.25">
      <c r="A6" s="2">
        <v>5</v>
      </c>
      <c r="B6" s="2">
        <v>6</v>
      </c>
      <c r="C6" s="3">
        <v>0.8</v>
      </c>
      <c r="D6" s="2">
        <v>2</v>
      </c>
      <c r="E6" s="2">
        <v>6.5</v>
      </c>
      <c r="F6" s="2">
        <v>61</v>
      </c>
      <c r="K6" s="4" t="s">
        <v>2</v>
      </c>
      <c r="L6" s="4">
        <v>0.97388416485626705</v>
      </c>
      <c r="M6" s="4">
        <v>0.97388416485626705</v>
      </c>
      <c r="N6" s="4">
        <v>1</v>
      </c>
      <c r="O6" s="4"/>
      <c r="P6" s="4"/>
      <c r="Q6" s="4"/>
    </row>
    <row r="7" spans="1:17" x14ac:dyDescent="0.25">
      <c r="A7" s="2">
        <v>6</v>
      </c>
      <c r="B7" s="2">
        <v>7</v>
      </c>
      <c r="C7" s="3">
        <v>0.82</v>
      </c>
      <c r="D7" s="2">
        <v>3</v>
      </c>
      <c r="E7" s="2">
        <v>7</v>
      </c>
      <c r="F7" s="2">
        <v>66</v>
      </c>
      <c r="K7" s="4" t="s">
        <v>3</v>
      </c>
      <c r="L7" s="4">
        <v>0.98978074014013495</v>
      </c>
      <c r="M7" s="4">
        <v>0.98978074014013495</v>
      </c>
      <c r="N7" s="4">
        <v>0.9597184350976169</v>
      </c>
      <c r="O7" s="4">
        <v>1</v>
      </c>
      <c r="P7" s="4"/>
      <c r="Q7" s="4"/>
    </row>
    <row r="8" spans="1:17" x14ac:dyDescent="0.25">
      <c r="A8" s="2">
        <v>7</v>
      </c>
      <c r="B8" s="2">
        <v>8</v>
      </c>
      <c r="C8" s="3">
        <v>0.85</v>
      </c>
      <c r="D8" s="2">
        <v>3</v>
      </c>
      <c r="E8" s="2">
        <v>7.5</v>
      </c>
      <c r="F8" s="2">
        <v>71</v>
      </c>
      <c r="K8" s="4" t="s">
        <v>4</v>
      </c>
      <c r="L8" s="4">
        <v>0.94755581073060091</v>
      </c>
      <c r="M8" s="4">
        <v>0.94755581073060091</v>
      </c>
      <c r="N8" s="4">
        <v>0.96399895668644986</v>
      </c>
      <c r="O8" s="4">
        <v>0.95215368994861527</v>
      </c>
      <c r="P8" s="4">
        <v>1</v>
      </c>
      <c r="Q8" s="4"/>
    </row>
    <row r="9" spans="1:17" ht="15.75" thickBot="1" x14ac:dyDescent="0.3">
      <c r="A9" s="2">
        <v>8</v>
      </c>
      <c r="B9" s="2">
        <v>9</v>
      </c>
      <c r="C9" s="3">
        <v>0.86</v>
      </c>
      <c r="D9" s="2">
        <v>3</v>
      </c>
      <c r="E9" s="2">
        <v>7</v>
      </c>
      <c r="F9" s="2">
        <v>73</v>
      </c>
      <c r="K9" s="5" t="s">
        <v>5</v>
      </c>
      <c r="L9" s="5">
        <v>0.9793608657619548</v>
      </c>
      <c r="M9" s="5">
        <v>0.9793608657619548</v>
      </c>
      <c r="N9" s="5">
        <v>0.99783467737152209</v>
      </c>
      <c r="O9" s="5">
        <v>0.96403160703614788</v>
      </c>
      <c r="P9" s="5">
        <v>0.96451936324976317</v>
      </c>
      <c r="Q9" s="5">
        <v>1</v>
      </c>
    </row>
    <row r="10" spans="1:17" x14ac:dyDescent="0.25">
      <c r="A10" s="2">
        <v>9</v>
      </c>
      <c r="B10" s="2">
        <v>10</v>
      </c>
      <c r="C10" s="3">
        <v>0.88</v>
      </c>
      <c r="D10" s="2">
        <v>4</v>
      </c>
      <c r="E10" s="2">
        <v>7.5</v>
      </c>
      <c r="F10" s="2">
        <v>77</v>
      </c>
    </row>
    <row r="11" spans="1:17" x14ac:dyDescent="0.25">
      <c r="A11" s="2">
        <v>10</v>
      </c>
      <c r="B11" s="2">
        <v>11</v>
      </c>
      <c r="C11" s="3">
        <v>0.9</v>
      </c>
      <c r="D11" s="2">
        <v>4</v>
      </c>
      <c r="E11" s="2">
        <v>8</v>
      </c>
      <c r="F11" s="2">
        <v>81</v>
      </c>
    </row>
    <row r="12" spans="1:17" x14ac:dyDescent="0.25">
      <c r="A12" s="2">
        <v>11</v>
      </c>
      <c r="B12" s="2">
        <v>12</v>
      </c>
      <c r="C12" s="3">
        <v>0.91</v>
      </c>
      <c r="D12" s="2">
        <v>4</v>
      </c>
      <c r="E12" s="2">
        <v>7.5</v>
      </c>
      <c r="F12" s="2">
        <v>83</v>
      </c>
    </row>
    <row r="13" spans="1:17" x14ac:dyDescent="0.25">
      <c r="A13" s="2">
        <v>12</v>
      </c>
      <c r="B13" s="2">
        <v>13</v>
      </c>
      <c r="C13" s="3">
        <v>0.92</v>
      </c>
      <c r="D13" s="2">
        <v>5</v>
      </c>
      <c r="E13" s="2">
        <v>8</v>
      </c>
      <c r="F13" s="2">
        <v>86</v>
      </c>
    </row>
    <row r="14" spans="1:17" x14ac:dyDescent="0.25">
      <c r="A14" s="2">
        <v>13</v>
      </c>
      <c r="B14" s="2">
        <v>14</v>
      </c>
      <c r="C14" s="3">
        <v>0.93</v>
      </c>
      <c r="D14" s="2">
        <v>5</v>
      </c>
      <c r="E14" s="2">
        <v>8.5</v>
      </c>
      <c r="F14" s="2">
        <v>89</v>
      </c>
    </row>
    <row r="15" spans="1:17" x14ac:dyDescent="0.25">
      <c r="A15" s="2">
        <v>14</v>
      </c>
      <c r="B15" s="2">
        <v>15</v>
      </c>
      <c r="C15" s="3">
        <v>0.94</v>
      </c>
      <c r="D15" s="2">
        <v>5</v>
      </c>
      <c r="E15" s="2">
        <v>8</v>
      </c>
      <c r="F15" s="2">
        <v>91</v>
      </c>
    </row>
    <row r="16" spans="1:17" x14ac:dyDescent="0.25">
      <c r="A16" s="2">
        <v>15</v>
      </c>
      <c r="B16" s="2">
        <v>16</v>
      </c>
      <c r="C16" s="3">
        <v>0.95</v>
      </c>
      <c r="D16" s="2">
        <v>6</v>
      </c>
      <c r="E16" s="2">
        <v>8.5</v>
      </c>
      <c r="F16" s="2">
        <v>93</v>
      </c>
    </row>
    <row r="17" spans="1:6" x14ac:dyDescent="0.25">
      <c r="A17" s="2">
        <v>16</v>
      </c>
      <c r="B17" s="2">
        <v>17</v>
      </c>
      <c r="C17" s="3">
        <v>0.96</v>
      </c>
      <c r="D17" s="2">
        <v>6</v>
      </c>
      <c r="E17" s="2">
        <v>8</v>
      </c>
      <c r="F17" s="2">
        <v>95</v>
      </c>
    </row>
    <row r="18" spans="1:6" x14ac:dyDescent="0.25">
      <c r="A18" s="2">
        <v>17</v>
      </c>
      <c r="B18" s="2">
        <v>18</v>
      </c>
      <c r="C18" s="3">
        <v>0.97</v>
      </c>
      <c r="D18" s="2">
        <v>6</v>
      </c>
      <c r="E18" s="2">
        <v>8.5</v>
      </c>
      <c r="F18" s="2">
        <v>96</v>
      </c>
    </row>
    <row r="19" spans="1:6" x14ac:dyDescent="0.25">
      <c r="A19" s="2">
        <v>18</v>
      </c>
      <c r="B19" s="2">
        <v>19</v>
      </c>
      <c r="C19" s="3">
        <v>0.98</v>
      </c>
      <c r="D19" s="2">
        <v>7</v>
      </c>
      <c r="E19" s="2">
        <v>9</v>
      </c>
      <c r="F19" s="2">
        <v>98</v>
      </c>
    </row>
    <row r="20" spans="1:6" x14ac:dyDescent="0.25">
      <c r="A20" s="2">
        <v>19</v>
      </c>
      <c r="B20" s="2">
        <v>20</v>
      </c>
      <c r="C20" s="3">
        <v>0.99</v>
      </c>
      <c r="D20" s="2">
        <v>7</v>
      </c>
      <c r="E20" s="2">
        <v>8.5</v>
      </c>
      <c r="F20" s="2">
        <v>99</v>
      </c>
    </row>
    <row r="21" spans="1:6" x14ac:dyDescent="0.25">
      <c r="A21" s="2">
        <v>20</v>
      </c>
      <c r="B21" s="2">
        <v>21</v>
      </c>
      <c r="C21" s="3">
        <v>1</v>
      </c>
      <c r="D21" s="2">
        <v>8</v>
      </c>
      <c r="E21" s="2">
        <v>9</v>
      </c>
      <c r="F21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7AA9-140D-4627-B7FC-C403933D5D52}">
  <dimension ref="A1:L21"/>
  <sheetViews>
    <sheetView workbookViewId="0">
      <selection activeCell="I9" sqref="I9"/>
    </sheetView>
  </sheetViews>
  <sheetFormatPr defaultRowHeight="15" x14ac:dyDescent="0.25"/>
  <sheetData>
    <row r="1" spans="1:12" x14ac:dyDescent="0.25">
      <c r="A1" t="s">
        <v>70</v>
      </c>
      <c r="B1" t="s">
        <v>71</v>
      </c>
      <c r="C1" t="s">
        <v>72</v>
      </c>
      <c r="E1" t="s">
        <v>49</v>
      </c>
      <c r="F1" t="s">
        <v>73</v>
      </c>
    </row>
    <row r="2" spans="1:12" ht="15.75" thickBot="1" x14ac:dyDescent="0.3">
      <c r="A2">
        <v>1200</v>
      </c>
      <c r="B2">
        <v>15800</v>
      </c>
      <c r="C2">
        <v>820</v>
      </c>
      <c r="E2" t="s">
        <v>37</v>
      </c>
      <c r="F2" t="s">
        <v>38</v>
      </c>
    </row>
    <row r="3" spans="1:12" x14ac:dyDescent="0.25">
      <c r="A3">
        <v>1350</v>
      </c>
      <c r="B3">
        <v>16750</v>
      </c>
      <c r="C3">
        <v>860</v>
      </c>
      <c r="I3" s="6"/>
      <c r="J3" s="6" t="s">
        <v>70</v>
      </c>
      <c r="K3" s="6" t="s">
        <v>71</v>
      </c>
      <c r="L3" s="6" t="s">
        <v>72</v>
      </c>
    </row>
    <row r="4" spans="1:12" x14ac:dyDescent="0.25">
      <c r="A4">
        <v>1280</v>
      </c>
      <c r="B4">
        <v>16200</v>
      </c>
      <c r="C4">
        <v>840</v>
      </c>
      <c r="I4" s="4" t="s">
        <v>70</v>
      </c>
      <c r="J4" s="4">
        <f>VARP(Covariance!$A$2:$A$21)</f>
        <v>90211</v>
      </c>
      <c r="K4" s="4"/>
      <c r="L4" s="4"/>
    </row>
    <row r="5" spans="1:12" x14ac:dyDescent="0.25">
      <c r="A5">
        <v>1450</v>
      </c>
      <c r="B5">
        <v>17420</v>
      </c>
      <c r="C5">
        <v>900</v>
      </c>
      <c r="I5" s="4" t="s">
        <v>71</v>
      </c>
      <c r="J5" s="4">
        <v>694756</v>
      </c>
      <c r="K5" s="4">
        <f>VARP(Covariance!$B$2:$B$21)</f>
        <v>5360556</v>
      </c>
      <c r="L5" s="4"/>
    </row>
    <row r="6" spans="1:12" ht="15.75" thickBot="1" x14ac:dyDescent="0.3">
      <c r="A6">
        <v>1520</v>
      </c>
      <c r="B6">
        <v>18100</v>
      </c>
      <c r="C6">
        <v>940</v>
      </c>
      <c r="I6" s="5" t="s">
        <v>72</v>
      </c>
      <c r="J6" s="5">
        <v>42911.5</v>
      </c>
      <c r="K6" s="5">
        <v>331536.5</v>
      </c>
      <c r="L6" s="5">
        <f>VARP(Covariance!$C$2:$C$21)</f>
        <v>20569.75</v>
      </c>
    </row>
    <row r="7" spans="1:12" x14ac:dyDescent="0.25">
      <c r="A7">
        <v>1380</v>
      </c>
      <c r="B7">
        <v>16980</v>
      </c>
      <c r="C7">
        <v>880</v>
      </c>
    </row>
    <row r="8" spans="1:12" x14ac:dyDescent="0.25">
      <c r="A8">
        <v>1600</v>
      </c>
      <c r="B8">
        <v>18650</v>
      </c>
      <c r="C8">
        <v>970</v>
      </c>
    </row>
    <row r="9" spans="1:12" x14ac:dyDescent="0.25">
      <c r="A9">
        <v>1490</v>
      </c>
      <c r="B9">
        <v>17890</v>
      </c>
      <c r="C9">
        <v>930</v>
      </c>
    </row>
    <row r="10" spans="1:12" x14ac:dyDescent="0.25">
      <c r="A10">
        <v>1700</v>
      </c>
      <c r="B10">
        <v>19240</v>
      </c>
      <c r="C10">
        <v>1010</v>
      </c>
    </row>
    <row r="11" spans="1:12" x14ac:dyDescent="0.25">
      <c r="A11">
        <v>1760</v>
      </c>
      <c r="B11">
        <v>19860</v>
      </c>
      <c r="C11">
        <v>1040</v>
      </c>
    </row>
    <row r="12" spans="1:12" x14ac:dyDescent="0.25">
      <c r="A12">
        <v>1650</v>
      </c>
      <c r="B12">
        <v>18940</v>
      </c>
      <c r="C12">
        <v>995</v>
      </c>
    </row>
    <row r="13" spans="1:12" x14ac:dyDescent="0.25">
      <c r="A13">
        <v>1820</v>
      </c>
      <c r="B13">
        <v>20310</v>
      </c>
      <c r="C13">
        <v>1080</v>
      </c>
    </row>
    <row r="14" spans="1:12" x14ac:dyDescent="0.25">
      <c r="A14">
        <v>1900</v>
      </c>
      <c r="B14">
        <v>20950</v>
      </c>
      <c r="C14">
        <v>1110</v>
      </c>
    </row>
    <row r="15" spans="1:12" x14ac:dyDescent="0.25">
      <c r="A15">
        <v>1750</v>
      </c>
      <c r="B15">
        <v>19720</v>
      </c>
      <c r="C15">
        <v>1035</v>
      </c>
    </row>
    <row r="16" spans="1:12" x14ac:dyDescent="0.25">
      <c r="A16">
        <v>1980</v>
      </c>
      <c r="B16">
        <v>21480</v>
      </c>
      <c r="C16">
        <v>1160</v>
      </c>
    </row>
    <row r="17" spans="1:3" x14ac:dyDescent="0.25">
      <c r="A17">
        <v>2050</v>
      </c>
      <c r="B17">
        <v>22060</v>
      </c>
      <c r="C17">
        <v>1195</v>
      </c>
    </row>
    <row r="18" spans="1:3" x14ac:dyDescent="0.25">
      <c r="A18">
        <v>1930</v>
      </c>
      <c r="B18">
        <v>21190</v>
      </c>
      <c r="C18">
        <v>1135</v>
      </c>
    </row>
    <row r="19" spans="1:3" x14ac:dyDescent="0.25">
      <c r="A19">
        <v>2100</v>
      </c>
      <c r="B19">
        <v>22640</v>
      </c>
      <c r="C19">
        <v>1230</v>
      </c>
    </row>
    <row r="20" spans="1:3" x14ac:dyDescent="0.25">
      <c r="A20">
        <v>2180</v>
      </c>
      <c r="B20">
        <v>23210</v>
      </c>
      <c r="C20">
        <v>1270</v>
      </c>
    </row>
    <row r="21" spans="1:3" x14ac:dyDescent="0.25">
      <c r="A21">
        <v>2250</v>
      </c>
      <c r="B21">
        <v>23850</v>
      </c>
      <c r="C21">
        <v>1310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B3C3-7613-4E5C-9174-6FD59917DE71}">
  <dimension ref="A1:O18"/>
  <sheetViews>
    <sheetView workbookViewId="0">
      <selection activeCell="R13" sqref="R13"/>
    </sheetView>
  </sheetViews>
  <sheetFormatPr defaultRowHeight="15" x14ac:dyDescent="0.25"/>
  <cols>
    <col min="1" max="1" width="9.85546875" bestFit="1" customWidth="1"/>
    <col min="2" max="3" width="9.7109375" bestFit="1" customWidth="1"/>
    <col min="4" max="4" width="9.85546875" bestFit="1" customWidth="1"/>
  </cols>
  <sheetData>
    <row r="1" spans="1:15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15" x14ac:dyDescent="0.25">
      <c r="A2" s="2">
        <v>45</v>
      </c>
      <c r="B2" s="2">
        <v>52</v>
      </c>
      <c r="C2" s="2">
        <v>58</v>
      </c>
      <c r="D2" s="2">
        <v>63</v>
      </c>
    </row>
    <row r="3" spans="1:15" x14ac:dyDescent="0.25">
      <c r="A3" s="2">
        <v>47</v>
      </c>
      <c r="B3" s="2">
        <v>55</v>
      </c>
      <c r="C3" s="2">
        <v>60</v>
      </c>
      <c r="D3" s="2">
        <v>65</v>
      </c>
      <c r="I3" t="s">
        <v>6</v>
      </c>
    </row>
    <row r="4" spans="1:15" x14ac:dyDescent="0.25">
      <c r="A4" s="2">
        <v>44</v>
      </c>
      <c r="B4" s="2">
        <v>53</v>
      </c>
      <c r="C4" s="2">
        <v>59</v>
      </c>
      <c r="D4" s="2">
        <v>64</v>
      </c>
    </row>
    <row r="5" spans="1:15" ht="15.75" thickBot="1" x14ac:dyDescent="0.3">
      <c r="A5" s="2">
        <v>46</v>
      </c>
      <c r="B5" s="2">
        <v>54</v>
      </c>
      <c r="C5" s="2">
        <v>61</v>
      </c>
      <c r="D5" s="2">
        <v>66</v>
      </c>
      <c r="I5" t="s">
        <v>7</v>
      </c>
    </row>
    <row r="6" spans="1:15" x14ac:dyDescent="0.25">
      <c r="A6" s="2">
        <v>48</v>
      </c>
      <c r="B6" s="2">
        <v>56</v>
      </c>
      <c r="C6" s="2">
        <v>62</v>
      </c>
      <c r="D6" s="2">
        <v>67</v>
      </c>
      <c r="I6" s="6" t="s">
        <v>8</v>
      </c>
      <c r="J6" s="6" t="s">
        <v>9</v>
      </c>
      <c r="K6" s="6" t="s">
        <v>10</v>
      </c>
      <c r="L6" s="6" t="s">
        <v>11</v>
      </c>
      <c r="M6" s="6" t="s">
        <v>12</v>
      </c>
    </row>
    <row r="7" spans="1:15" x14ac:dyDescent="0.25">
      <c r="A7" s="2">
        <v>43</v>
      </c>
      <c r="B7" s="2">
        <v>51</v>
      </c>
      <c r="C7" s="2">
        <v>57</v>
      </c>
      <c r="D7" s="2">
        <v>62</v>
      </c>
      <c r="I7" s="4" t="s">
        <v>24</v>
      </c>
      <c r="J7" s="4">
        <v>10</v>
      </c>
      <c r="K7" s="4">
        <v>460</v>
      </c>
      <c r="L7" s="4">
        <v>46</v>
      </c>
      <c r="M7" s="4">
        <v>3.3333333333333335</v>
      </c>
    </row>
    <row r="8" spans="1:15" x14ac:dyDescent="0.25">
      <c r="A8" s="2">
        <v>49</v>
      </c>
      <c r="B8" s="2">
        <v>57</v>
      </c>
      <c r="C8" s="2">
        <v>63</v>
      </c>
      <c r="D8" s="2">
        <v>68</v>
      </c>
      <c r="I8" s="4" t="s">
        <v>25</v>
      </c>
      <c r="J8" s="4">
        <v>10</v>
      </c>
      <c r="K8" s="4">
        <v>540</v>
      </c>
      <c r="L8" s="4">
        <v>54</v>
      </c>
      <c r="M8" s="4">
        <v>3.3333333333333335</v>
      </c>
    </row>
    <row r="9" spans="1:15" x14ac:dyDescent="0.25">
      <c r="A9" s="2">
        <v>46</v>
      </c>
      <c r="B9" s="2">
        <v>54</v>
      </c>
      <c r="C9" s="2">
        <v>60</v>
      </c>
      <c r="D9" s="2">
        <v>65</v>
      </c>
      <c r="I9" s="4" t="s">
        <v>26</v>
      </c>
      <c r="J9" s="4">
        <v>10</v>
      </c>
      <c r="K9" s="4">
        <v>600</v>
      </c>
      <c r="L9" s="4">
        <v>60</v>
      </c>
      <c r="M9" s="4">
        <v>3.3333333333333335</v>
      </c>
    </row>
    <row r="10" spans="1:15" ht="15.75" thickBot="1" x14ac:dyDescent="0.3">
      <c r="A10" s="2">
        <v>45</v>
      </c>
      <c r="B10" s="2">
        <v>53</v>
      </c>
      <c r="C10" s="2">
        <v>59</v>
      </c>
      <c r="D10" s="2">
        <v>64</v>
      </c>
      <c r="I10" s="5" t="s">
        <v>27</v>
      </c>
      <c r="J10" s="5">
        <v>10</v>
      </c>
      <c r="K10" s="5">
        <v>650</v>
      </c>
      <c r="L10" s="5">
        <v>65</v>
      </c>
      <c r="M10" s="5">
        <v>3.3333333333333335</v>
      </c>
    </row>
    <row r="11" spans="1:15" x14ac:dyDescent="0.25">
      <c r="A11" s="2">
        <v>47</v>
      </c>
      <c r="B11" s="2">
        <v>55</v>
      </c>
      <c r="C11" s="2">
        <v>61</v>
      </c>
      <c r="D11" s="2">
        <v>66</v>
      </c>
    </row>
    <row r="13" spans="1:15" ht="15.75" thickBot="1" x14ac:dyDescent="0.3">
      <c r="I13" t="s">
        <v>13</v>
      </c>
    </row>
    <row r="14" spans="1:15" x14ac:dyDescent="0.25">
      <c r="I14" s="6" t="s">
        <v>14</v>
      </c>
      <c r="J14" s="6" t="s">
        <v>15</v>
      </c>
      <c r="K14" s="6" t="s">
        <v>16</v>
      </c>
      <c r="L14" s="6" t="s">
        <v>17</v>
      </c>
      <c r="M14" s="6" t="s">
        <v>18</v>
      </c>
      <c r="N14" s="6" t="s">
        <v>19</v>
      </c>
      <c r="O14" s="6" t="s">
        <v>20</v>
      </c>
    </row>
    <row r="15" spans="1:15" x14ac:dyDescent="0.25">
      <c r="I15" s="4" t="s">
        <v>21</v>
      </c>
      <c r="J15" s="4">
        <v>2007.5</v>
      </c>
      <c r="K15" s="4">
        <v>3</v>
      </c>
      <c r="L15" s="4">
        <v>669.16666666666663</v>
      </c>
      <c r="M15" s="4">
        <v>200.74999999999997</v>
      </c>
      <c r="N15" s="4">
        <v>1.5873028173363582E-22</v>
      </c>
      <c r="O15" s="4">
        <v>2.8662655509401795</v>
      </c>
    </row>
    <row r="16" spans="1:15" x14ac:dyDescent="0.25">
      <c r="I16" s="4" t="s">
        <v>22</v>
      </c>
      <c r="J16" s="4">
        <v>120</v>
      </c>
      <c r="K16" s="4">
        <v>36</v>
      </c>
      <c r="L16" s="4">
        <v>3.3333333333333335</v>
      </c>
      <c r="M16" s="4"/>
      <c r="N16" s="4"/>
      <c r="O16" s="4"/>
    </row>
    <row r="17" spans="9:15" x14ac:dyDescent="0.25">
      <c r="I17" s="4"/>
      <c r="J17" s="4"/>
      <c r="K17" s="4"/>
      <c r="L17" s="4"/>
      <c r="M17" s="4"/>
      <c r="N17" s="4"/>
      <c r="O17" s="4"/>
    </row>
    <row r="18" spans="9:15" ht="15.75" thickBot="1" x14ac:dyDescent="0.3">
      <c r="I18" s="5" t="s">
        <v>23</v>
      </c>
      <c r="J18" s="5">
        <v>2127.5</v>
      </c>
      <c r="K18" s="5">
        <v>39</v>
      </c>
      <c r="L18" s="5"/>
      <c r="M18" s="5"/>
      <c r="N18" s="5"/>
      <c r="O1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9811-28F1-437E-95B4-06116187FE72}">
  <dimension ref="A1:X45"/>
  <sheetViews>
    <sheetView tabSelected="1" topLeftCell="A19" workbookViewId="0">
      <selection activeCell="Y14" sqref="Y14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4" width="9.42578125" bestFit="1" customWidth="1"/>
    <col min="6" max="6" width="16.140625" bestFit="1" customWidth="1"/>
    <col min="7" max="7" width="4.140625" bestFit="1" customWidth="1"/>
  </cols>
  <sheetData>
    <row r="1" spans="1:22" x14ac:dyDescent="0.25">
      <c r="A1" s="1" t="s">
        <v>28</v>
      </c>
      <c r="B1" s="1" t="s">
        <v>29</v>
      </c>
      <c r="C1" s="1" t="s">
        <v>30</v>
      </c>
      <c r="D1" s="1" t="s">
        <v>31</v>
      </c>
      <c r="F1" s="7" t="s">
        <v>36</v>
      </c>
      <c r="G1" s="7">
        <v>3</v>
      </c>
    </row>
    <row r="2" spans="1:22" x14ac:dyDescent="0.25">
      <c r="A2" s="2" t="s">
        <v>32</v>
      </c>
      <c r="B2" s="2">
        <v>42</v>
      </c>
      <c r="C2" s="2">
        <v>47</v>
      </c>
      <c r="D2" s="2">
        <v>51</v>
      </c>
      <c r="F2" s="7" t="s">
        <v>37</v>
      </c>
      <c r="G2" s="7" t="s">
        <v>38</v>
      </c>
    </row>
    <row r="3" spans="1:22" x14ac:dyDescent="0.25">
      <c r="A3" s="2" t="s">
        <v>32</v>
      </c>
      <c r="B3" s="2">
        <v>44</v>
      </c>
      <c r="C3" s="2">
        <v>48</v>
      </c>
      <c r="D3" s="2">
        <v>52</v>
      </c>
    </row>
    <row r="4" spans="1:22" x14ac:dyDescent="0.25">
      <c r="A4" s="2" t="s">
        <v>32</v>
      </c>
      <c r="B4" s="2">
        <v>43</v>
      </c>
      <c r="C4" s="2">
        <v>46</v>
      </c>
      <c r="D4" s="2">
        <v>50</v>
      </c>
      <c r="J4" t="s">
        <v>39</v>
      </c>
      <c r="R4" t="s">
        <v>39</v>
      </c>
    </row>
    <row r="5" spans="1:22" x14ac:dyDescent="0.25">
      <c r="A5" s="2" t="s">
        <v>33</v>
      </c>
      <c r="B5" s="2">
        <v>38</v>
      </c>
      <c r="C5" s="2">
        <v>42</v>
      </c>
      <c r="D5" s="2">
        <v>45</v>
      </c>
    </row>
    <row r="6" spans="1:22" x14ac:dyDescent="0.25">
      <c r="A6" s="2" t="s">
        <v>33</v>
      </c>
      <c r="B6" s="2">
        <v>39</v>
      </c>
      <c r="C6" s="2">
        <v>43</v>
      </c>
      <c r="D6" s="2">
        <v>46</v>
      </c>
      <c r="J6" t="s">
        <v>7</v>
      </c>
      <c r="K6" t="s">
        <v>29</v>
      </c>
      <c r="L6" t="s">
        <v>30</v>
      </c>
      <c r="M6" t="s">
        <v>31</v>
      </c>
      <c r="N6" t="s">
        <v>23</v>
      </c>
      <c r="R6" t="s">
        <v>7</v>
      </c>
      <c r="S6" t="s">
        <v>29</v>
      </c>
      <c r="T6" t="s">
        <v>30</v>
      </c>
      <c r="U6" t="s">
        <v>31</v>
      </c>
      <c r="V6" t="s">
        <v>23</v>
      </c>
    </row>
    <row r="7" spans="1:22" ht="15.75" thickBot="1" x14ac:dyDescent="0.3">
      <c r="A7" s="2" t="s">
        <v>33</v>
      </c>
      <c r="B7" s="2">
        <v>37</v>
      </c>
      <c r="C7" s="2">
        <v>41</v>
      </c>
      <c r="D7" s="2">
        <v>44</v>
      </c>
      <c r="J7" s="8" t="s">
        <v>32</v>
      </c>
      <c r="K7" s="8"/>
      <c r="L7" s="8"/>
      <c r="M7" s="8"/>
      <c r="N7" s="8"/>
      <c r="R7" s="8" t="s">
        <v>32</v>
      </c>
      <c r="S7" s="8"/>
      <c r="T7" s="8"/>
      <c r="U7" s="8"/>
      <c r="V7" s="8"/>
    </row>
    <row r="8" spans="1:22" x14ac:dyDescent="0.25">
      <c r="A8" s="2" t="s">
        <v>34</v>
      </c>
      <c r="B8" s="2">
        <v>46</v>
      </c>
      <c r="C8" s="2">
        <v>50</v>
      </c>
      <c r="D8" s="2">
        <v>54</v>
      </c>
      <c r="J8" s="4" t="s">
        <v>9</v>
      </c>
      <c r="K8" s="4">
        <v>3</v>
      </c>
      <c r="L8" s="4">
        <v>3</v>
      </c>
      <c r="M8" s="4">
        <v>3</v>
      </c>
      <c r="N8" s="4">
        <v>9</v>
      </c>
      <c r="R8" s="4" t="s">
        <v>9</v>
      </c>
      <c r="S8" s="4">
        <v>4</v>
      </c>
      <c r="T8" s="4">
        <v>4</v>
      </c>
      <c r="U8" s="4">
        <v>4</v>
      </c>
      <c r="V8" s="4">
        <v>12</v>
      </c>
    </row>
    <row r="9" spans="1:22" x14ac:dyDescent="0.25">
      <c r="A9" s="2" t="s">
        <v>34</v>
      </c>
      <c r="B9" s="2">
        <v>47</v>
      </c>
      <c r="C9" s="2">
        <v>51</v>
      </c>
      <c r="D9" s="2">
        <v>55</v>
      </c>
      <c r="J9" s="4" t="s">
        <v>10</v>
      </c>
      <c r="K9" s="4">
        <v>129</v>
      </c>
      <c r="L9" s="4">
        <v>141</v>
      </c>
      <c r="M9" s="4">
        <v>153</v>
      </c>
      <c r="N9" s="4">
        <v>423</v>
      </c>
      <c r="R9" s="4" t="s">
        <v>10</v>
      </c>
      <c r="S9" s="4">
        <v>167</v>
      </c>
      <c r="T9" s="4">
        <v>183</v>
      </c>
      <c r="U9" s="4">
        <v>198</v>
      </c>
      <c r="V9" s="4">
        <v>548</v>
      </c>
    </row>
    <row r="10" spans="1:22" x14ac:dyDescent="0.25">
      <c r="A10" s="2" t="s">
        <v>34</v>
      </c>
      <c r="B10" s="2">
        <v>45</v>
      </c>
      <c r="C10" s="2">
        <v>49</v>
      </c>
      <c r="D10" s="2">
        <v>53</v>
      </c>
      <c r="J10" s="4" t="s">
        <v>11</v>
      </c>
      <c r="K10" s="4">
        <v>43</v>
      </c>
      <c r="L10" s="4">
        <v>47</v>
      </c>
      <c r="M10" s="4">
        <v>51</v>
      </c>
      <c r="N10" s="4">
        <v>47</v>
      </c>
      <c r="R10" s="4" t="s">
        <v>11</v>
      </c>
      <c r="S10" s="4">
        <v>41.75</v>
      </c>
      <c r="T10" s="4">
        <v>45.75</v>
      </c>
      <c r="U10" s="4">
        <v>49.5</v>
      </c>
      <c r="V10" s="4">
        <v>45.666666666666664</v>
      </c>
    </row>
    <row r="11" spans="1:22" x14ac:dyDescent="0.25">
      <c r="A11" s="2" t="s">
        <v>35</v>
      </c>
      <c r="B11" s="2">
        <v>40</v>
      </c>
      <c r="C11" s="2">
        <v>44</v>
      </c>
      <c r="D11" s="2">
        <v>48</v>
      </c>
      <c r="J11" s="4" t="s">
        <v>12</v>
      </c>
      <c r="K11" s="4">
        <v>1</v>
      </c>
      <c r="L11" s="4">
        <v>1</v>
      </c>
      <c r="M11" s="4">
        <v>1</v>
      </c>
      <c r="N11" s="4">
        <v>12.75</v>
      </c>
      <c r="R11" s="4" t="s">
        <v>12</v>
      </c>
      <c r="S11" s="4">
        <v>6.916666666666667</v>
      </c>
      <c r="T11" s="4">
        <v>6.916666666666667</v>
      </c>
      <c r="U11" s="4">
        <v>9.6666666666666661</v>
      </c>
      <c r="V11" s="4">
        <v>17.333333333333336</v>
      </c>
    </row>
    <row r="12" spans="1:22" x14ac:dyDescent="0.25">
      <c r="A12" s="2" t="s">
        <v>35</v>
      </c>
      <c r="B12" s="2">
        <v>41</v>
      </c>
      <c r="C12" s="2">
        <v>45</v>
      </c>
      <c r="D12" s="2">
        <v>49</v>
      </c>
      <c r="J12" s="4"/>
      <c r="K12" s="4"/>
      <c r="L12" s="4"/>
      <c r="M12" s="4"/>
      <c r="N12" s="4"/>
      <c r="R12" s="4"/>
      <c r="S12" s="4"/>
      <c r="T12" s="4"/>
      <c r="U12" s="4"/>
      <c r="V12" s="4"/>
    </row>
    <row r="13" spans="1:22" ht="15.75" thickBot="1" x14ac:dyDescent="0.3">
      <c r="A13" s="2" t="s">
        <v>35</v>
      </c>
      <c r="B13" s="2">
        <v>39</v>
      </c>
      <c r="C13" s="2">
        <v>43</v>
      </c>
      <c r="D13" s="2">
        <v>47</v>
      </c>
      <c r="J13" s="8" t="s">
        <v>33</v>
      </c>
      <c r="K13" s="8"/>
      <c r="L13" s="8"/>
      <c r="M13" s="8"/>
      <c r="N13" s="8"/>
      <c r="R13" s="8" t="s">
        <v>33</v>
      </c>
      <c r="S13" s="8"/>
      <c r="T13" s="8"/>
      <c r="U13" s="8"/>
      <c r="V13" s="8"/>
    </row>
    <row r="14" spans="1:22" x14ac:dyDescent="0.25">
      <c r="J14" s="4" t="s">
        <v>9</v>
      </c>
      <c r="K14" s="4">
        <v>3</v>
      </c>
      <c r="L14" s="4">
        <v>3</v>
      </c>
      <c r="M14" s="4">
        <v>3</v>
      </c>
      <c r="N14" s="4">
        <v>9</v>
      </c>
      <c r="R14" s="4" t="s">
        <v>9</v>
      </c>
      <c r="S14" s="4">
        <v>4</v>
      </c>
      <c r="T14" s="4">
        <v>4</v>
      </c>
      <c r="U14" s="4">
        <v>4</v>
      </c>
      <c r="V14" s="4">
        <v>12</v>
      </c>
    </row>
    <row r="15" spans="1:22" x14ac:dyDescent="0.25">
      <c r="J15" s="4" t="s">
        <v>10</v>
      </c>
      <c r="K15" s="4">
        <v>114</v>
      </c>
      <c r="L15" s="4">
        <v>126</v>
      </c>
      <c r="M15" s="4">
        <v>135</v>
      </c>
      <c r="N15" s="4">
        <v>375</v>
      </c>
      <c r="R15" s="4" t="s">
        <v>10</v>
      </c>
      <c r="S15" s="4">
        <v>169</v>
      </c>
      <c r="T15" s="4">
        <v>185</v>
      </c>
      <c r="U15" s="4">
        <v>199</v>
      </c>
      <c r="V15" s="4">
        <v>553</v>
      </c>
    </row>
    <row r="16" spans="1:22" x14ac:dyDescent="0.25">
      <c r="J16" s="4" t="s">
        <v>11</v>
      </c>
      <c r="K16" s="4">
        <v>38</v>
      </c>
      <c r="L16" s="4">
        <v>42</v>
      </c>
      <c r="M16" s="4">
        <v>45</v>
      </c>
      <c r="N16" s="4">
        <v>41.666666666666664</v>
      </c>
      <c r="R16" s="4" t="s">
        <v>11</v>
      </c>
      <c r="S16" s="4">
        <v>42.25</v>
      </c>
      <c r="T16" s="4">
        <v>46.25</v>
      </c>
      <c r="U16" s="4">
        <v>49.75</v>
      </c>
      <c r="V16" s="4">
        <v>46.083333333333336</v>
      </c>
    </row>
    <row r="17" spans="10:22" x14ac:dyDescent="0.25">
      <c r="J17" s="4" t="s">
        <v>12</v>
      </c>
      <c r="K17" s="4">
        <v>1</v>
      </c>
      <c r="L17" s="4">
        <v>1</v>
      </c>
      <c r="M17" s="4">
        <v>1</v>
      </c>
      <c r="N17" s="4">
        <v>10.000000000000002</v>
      </c>
      <c r="R17" s="4" t="s">
        <v>12</v>
      </c>
      <c r="S17" s="4">
        <v>24.916666666666668</v>
      </c>
      <c r="T17" s="4">
        <v>24.916666666666668</v>
      </c>
      <c r="U17" s="4">
        <v>30.916666666666668</v>
      </c>
      <c r="V17" s="4">
        <v>32.265151515151622</v>
      </c>
    </row>
    <row r="18" spans="10:22" x14ac:dyDescent="0.25">
      <c r="J18" s="4"/>
      <c r="K18" s="4"/>
      <c r="L18" s="4"/>
      <c r="M18" s="4"/>
      <c r="N18" s="4"/>
      <c r="R18" s="4"/>
      <c r="S18" s="4"/>
      <c r="T18" s="4"/>
      <c r="U18" s="4"/>
      <c r="V18" s="4"/>
    </row>
    <row r="19" spans="10:22" ht="15.75" thickBot="1" x14ac:dyDescent="0.3">
      <c r="J19" s="8" t="s">
        <v>34</v>
      </c>
      <c r="K19" s="8"/>
      <c r="L19" s="8"/>
      <c r="M19" s="8"/>
      <c r="N19" s="8"/>
      <c r="R19" s="8" t="s">
        <v>34</v>
      </c>
      <c r="S19" s="8"/>
      <c r="T19" s="8"/>
      <c r="U19" s="8"/>
      <c r="V19" s="8"/>
    </row>
    <row r="20" spans="10:22" x14ac:dyDescent="0.25">
      <c r="J20" s="4" t="s">
        <v>9</v>
      </c>
      <c r="K20" s="4">
        <v>3</v>
      </c>
      <c r="L20" s="4">
        <v>3</v>
      </c>
      <c r="M20" s="4">
        <v>3</v>
      </c>
      <c r="N20" s="4">
        <v>9</v>
      </c>
      <c r="R20" s="4" t="s">
        <v>9</v>
      </c>
      <c r="S20" s="4">
        <v>4</v>
      </c>
      <c r="T20" s="4">
        <v>4</v>
      </c>
      <c r="U20" s="4">
        <v>4</v>
      </c>
      <c r="V20" s="4">
        <v>12</v>
      </c>
    </row>
    <row r="21" spans="10:22" x14ac:dyDescent="0.25">
      <c r="J21" s="4" t="s">
        <v>10</v>
      </c>
      <c r="K21" s="4">
        <v>138</v>
      </c>
      <c r="L21" s="4">
        <v>150</v>
      </c>
      <c r="M21" s="4">
        <v>162</v>
      </c>
      <c r="N21" s="4">
        <v>450</v>
      </c>
      <c r="R21" s="4" t="s">
        <v>10</v>
      </c>
      <c r="S21" s="4">
        <v>165</v>
      </c>
      <c r="T21" s="4">
        <v>181</v>
      </c>
      <c r="U21" s="4">
        <v>197</v>
      </c>
      <c r="V21" s="4">
        <v>543</v>
      </c>
    </row>
    <row r="22" spans="10:22" x14ac:dyDescent="0.25">
      <c r="J22" s="4" t="s">
        <v>11</v>
      </c>
      <c r="K22" s="4">
        <v>46</v>
      </c>
      <c r="L22" s="4">
        <v>50</v>
      </c>
      <c r="M22" s="4">
        <v>54</v>
      </c>
      <c r="N22" s="4">
        <v>50</v>
      </c>
      <c r="R22" s="4" t="s">
        <v>11</v>
      </c>
      <c r="S22" s="4">
        <v>41.25</v>
      </c>
      <c r="T22" s="4">
        <v>45.25</v>
      </c>
      <c r="U22" s="4">
        <v>49.25</v>
      </c>
      <c r="V22" s="4">
        <v>45.25</v>
      </c>
    </row>
    <row r="23" spans="10:22" x14ac:dyDescent="0.25">
      <c r="J23" s="4" t="s">
        <v>12</v>
      </c>
      <c r="K23" s="4">
        <v>1</v>
      </c>
      <c r="L23" s="4">
        <v>1</v>
      </c>
      <c r="M23" s="4">
        <v>1</v>
      </c>
      <c r="N23" s="4">
        <v>12.75</v>
      </c>
      <c r="R23" s="4" t="s">
        <v>12</v>
      </c>
      <c r="S23" s="4">
        <v>6.916666666666667</v>
      </c>
      <c r="T23" s="4">
        <v>6.916666666666667</v>
      </c>
      <c r="U23" s="4">
        <v>6.916666666666667</v>
      </c>
      <c r="V23" s="4">
        <v>17.295454545454547</v>
      </c>
    </row>
    <row r="24" spans="10:22" x14ac:dyDescent="0.25">
      <c r="J24" s="4"/>
      <c r="K24" s="4"/>
      <c r="L24" s="4"/>
      <c r="M24" s="4"/>
      <c r="N24" s="4"/>
      <c r="R24" s="4"/>
      <c r="S24" s="4"/>
      <c r="T24" s="4"/>
      <c r="U24" s="4"/>
      <c r="V24" s="4"/>
    </row>
    <row r="25" spans="10:22" ht="15.75" thickBot="1" x14ac:dyDescent="0.3">
      <c r="J25" s="8" t="s">
        <v>35</v>
      </c>
      <c r="K25" s="8"/>
      <c r="L25" s="8"/>
      <c r="M25" s="8"/>
      <c r="N25" s="8"/>
      <c r="R25" s="8" t="s">
        <v>23</v>
      </c>
      <c r="S25" s="8"/>
      <c r="T25" s="8"/>
      <c r="U25" s="8"/>
      <c r="V25" s="8"/>
    </row>
    <row r="26" spans="10:22" x14ac:dyDescent="0.25">
      <c r="J26" s="4" t="s">
        <v>9</v>
      </c>
      <c r="K26" s="4">
        <v>3</v>
      </c>
      <c r="L26" s="4">
        <v>3</v>
      </c>
      <c r="M26" s="4">
        <v>3</v>
      </c>
      <c r="N26" s="4">
        <v>9</v>
      </c>
      <c r="R26" s="4" t="s">
        <v>9</v>
      </c>
      <c r="S26" s="4">
        <v>12</v>
      </c>
      <c r="T26" s="4">
        <v>12</v>
      </c>
      <c r="U26" s="4">
        <v>12</v>
      </c>
      <c r="V26" s="4"/>
    </row>
    <row r="27" spans="10:22" x14ac:dyDescent="0.25">
      <c r="J27" s="4" t="s">
        <v>10</v>
      </c>
      <c r="K27" s="4">
        <v>120</v>
      </c>
      <c r="L27" s="4">
        <v>132</v>
      </c>
      <c r="M27" s="4">
        <v>144</v>
      </c>
      <c r="N27" s="4">
        <v>396</v>
      </c>
      <c r="R27" s="4" t="s">
        <v>10</v>
      </c>
      <c r="S27" s="4">
        <v>501</v>
      </c>
      <c r="T27" s="4">
        <v>549</v>
      </c>
      <c r="U27" s="4">
        <v>594</v>
      </c>
      <c r="V27" s="4"/>
    </row>
    <row r="28" spans="10:22" x14ac:dyDescent="0.25">
      <c r="J28" s="4" t="s">
        <v>11</v>
      </c>
      <c r="K28" s="4">
        <v>40</v>
      </c>
      <c r="L28" s="4">
        <v>44</v>
      </c>
      <c r="M28" s="4">
        <v>48</v>
      </c>
      <c r="N28" s="4">
        <v>44</v>
      </c>
      <c r="R28" s="4" t="s">
        <v>11</v>
      </c>
      <c r="S28" s="4">
        <v>41.75</v>
      </c>
      <c r="T28" s="4">
        <v>45.75</v>
      </c>
      <c r="U28" s="4">
        <v>49.5</v>
      </c>
      <c r="V28" s="4"/>
    </row>
    <row r="29" spans="10:22" x14ac:dyDescent="0.25">
      <c r="J29" s="4" t="s">
        <v>12</v>
      </c>
      <c r="K29" s="4">
        <v>1</v>
      </c>
      <c r="L29" s="4">
        <v>1</v>
      </c>
      <c r="M29" s="4">
        <v>1</v>
      </c>
      <c r="N29" s="4">
        <v>12.75</v>
      </c>
      <c r="R29" s="4" t="s">
        <v>12</v>
      </c>
      <c r="S29" s="4">
        <v>10.75</v>
      </c>
      <c r="T29" s="4">
        <v>10.75</v>
      </c>
      <c r="U29" s="4">
        <v>13</v>
      </c>
      <c r="V29" s="4"/>
    </row>
    <row r="30" spans="10:22" x14ac:dyDescent="0.25">
      <c r="J30" s="4"/>
      <c r="K30" s="4"/>
      <c r="L30" s="4"/>
      <c r="M30" s="4"/>
      <c r="N30" s="4"/>
      <c r="R30" s="4"/>
      <c r="S30" s="4"/>
      <c r="T30" s="4"/>
      <c r="U30" s="4"/>
      <c r="V30" s="4"/>
    </row>
    <row r="31" spans="10:22" ht="15.75" thickBot="1" x14ac:dyDescent="0.3">
      <c r="J31" s="8" t="s">
        <v>23</v>
      </c>
      <c r="K31" s="8"/>
      <c r="L31" s="8"/>
      <c r="M31" s="8"/>
      <c r="N31" s="8"/>
      <c r="O31" s="8"/>
    </row>
    <row r="32" spans="10:22" ht="15.75" thickBot="1" x14ac:dyDescent="0.3">
      <c r="J32" s="4" t="s">
        <v>9</v>
      </c>
      <c r="K32" s="4">
        <v>12</v>
      </c>
      <c r="L32" s="4">
        <v>12</v>
      </c>
      <c r="M32" s="4">
        <v>12</v>
      </c>
      <c r="N32" s="4"/>
      <c r="O32" s="4"/>
      <c r="R32" t="s">
        <v>13</v>
      </c>
    </row>
    <row r="33" spans="10:24" x14ac:dyDescent="0.25">
      <c r="J33" s="4" t="s">
        <v>10</v>
      </c>
      <c r="K33" s="4">
        <v>501</v>
      </c>
      <c r="L33" s="4">
        <v>549</v>
      </c>
      <c r="M33" s="4">
        <v>594</v>
      </c>
      <c r="N33" s="4"/>
      <c r="O33" s="4"/>
      <c r="R33" s="6" t="s">
        <v>14</v>
      </c>
      <c r="S33" s="6" t="s">
        <v>15</v>
      </c>
      <c r="T33" s="6" t="s">
        <v>16</v>
      </c>
      <c r="U33" s="6" t="s">
        <v>17</v>
      </c>
      <c r="V33" s="6" t="s">
        <v>18</v>
      </c>
      <c r="W33" s="6" t="s">
        <v>19</v>
      </c>
      <c r="X33" s="6" t="s">
        <v>20</v>
      </c>
    </row>
    <row r="34" spans="10:24" x14ac:dyDescent="0.25">
      <c r="J34" s="4" t="s">
        <v>11</v>
      </c>
      <c r="K34" s="4">
        <v>41.75</v>
      </c>
      <c r="L34" s="4">
        <v>45.75</v>
      </c>
      <c r="M34" s="4">
        <v>49.5</v>
      </c>
      <c r="N34" s="4"/>
      <c r="O34" s="4"/>
      <c r="R34" s="4" t="s">
        <v>40</v>
      </c>
      <c r="S34" s="4">
        <v>4.1666666666665151</v>
      </c>
      <c r="T34" s="4">
        <v>2</v>
      </c>
      <c r="U34" s="4">
        <v>2.0833333333332575</v>
      </c>
      <c r="V34" s="4">
        <v>0.14999999999999453</v>
      </c>
      <c r="W34" s="4">
        <v>0.86142025850838</v>
      </c>
      <c r="X34" s="4">
        <v>3.3541308285291991</v>
      </c>
    </row>
    <row r="35" spans="10:24" x14ac:dyDescent="0.25">
      <c r="J35" s="4" t="s">
        <v>12</v>
      </c>
      <c r="K35" s="4">
        <v>10.75</v>
      </c>
      <c r="L35" s="4">
        <v>10.75</v>
      </c>
      <c r="M35" s="4">
        <v>13</v>
      </c>
      <c r="N35" s="4"/>
      <c r="O35" s="4"/>
      <c r="R35" s="4" t="s">
        <v>41</v>
      </c>
      <c r="S35" s="4">
        <v>360.49999999999989</v>
      </c>
      <c r="T35" s="4">
        <v>2</v>
      </c>
      <c r="U35" s="4">
        <v>180.24999999999994</v>
      </c>
      <c r="V35" s="4">
        <v>12.977999999999996</v>
      </c>
      <c r="W35" s="4">
        <v>1.1234557567371181E-4</v>
      </c>
      <c r="X35" s="4">
        <v>3.3541308285291991</v>
      </c>
    </row>
    <row r="36" spans="10:24" x14ac:dyDescent="0.25">
      <c r="J36" s="4"/>
      <c r="K36" s="4"/>
      <c r="L36" s="4"/>
      <c r="M36" s="4"/>
      <c r="N36" s="4"/>
      <c r="O36" s="4"/>
      <c r="R36" s="4" t="s">
        <v>42</v>
      </c>
      <c r="S36" s="4">
        <v>0.33333333333348492</v>
      </c>
      <c r="T36" s="4">
        <v>4</v>
      </c>
      <c r="U36" s="4">
        <v>8.3333333333371229E-2</v>
      </c>
      <c r="V36" s="4">
        <v>6.000000000002728E-3</v>
      </c>
      <c r="W36" s="4">
        <v>0.99992337309703938</v>
      </c>
      <c r="X36" s="4">
        <v>2.727765306033989</v>
      </c>
    </row>
    <row r="37" spans="10:24" x14ac:dyDescent="0.25">
      <c r="R37" s="4" t="s">
        <v>43</v>
      </c>
      <c r="S37" s="4">
        <v>375</v>
      </c>
      <c r="T37" s="4">
        <v>27</v>
      </c>
      <c r="U37" s="4">
        <v>13.888888888888889</v>
      </c>
      <c r="V37" s="4"/>
      <c r="W37" s="4"/>
      <c r="X37" s="4"/>
    </row>
    <row r="38" spans="10:24" ht="15.75" thickBot="1" x14ac:dyDescent="0.3">
      <c r="J38" t="s">
        <v>13</v>
      </c>
      <c r="R38" s="4"/>
      <c r="S38" s="4"/>
      <c r="T38" s="4"/>
      <c r="U38" s="4"/>
      <c r="V38" s="4"/>
      <c r="W38" s="4"/>
      <c r="X38" s="4"/>
    </row>
    <row r="39" spans="10:24" ht="15.75" thickBot="1" x14ac:dyDescent="0.3">
      <c r="J39" s="6" t="s">
        <v>14</v>
      </c>
      <c r="K39" s="6" t="s">
        <v>15</v>
      </c>
      <c r="L39" s="6" t="s">
        <v>16</v>
      </c>
      <c r="M39" s="6" t="s">
        <v>17</v>
      </c>
      <c r="N39" s="6" t="s">
        <v>18</v>
      </c>
      <c r="O39" s="6" t="s">
        <v>19</v>
      </c>
      <c r="P39" s="6" t="s">
        <v>20</v>
      </c>
      <c r="R39" s="5" t="s">
        <v>23</v>
      </c>
      <c r="S39" s="5">
        <v>739.99999999999989</v>
      </c>
      <c r="T39" s="5">
        <v>35</v>
      </c>
      <c r="U39" s="5"/>
      <c r="V39" s="5"/>
      <c r="W39" s="5"/>
      <c r="X39" s="5"/>
    </row>
    <row r="40" spans="10:24" x14ac:dyDescent="0.25">
      <c r="J40" s="4" t="s">
        <v>40</v>
      </c>
      <c r="K40" s="4">
        <v>353.99999999999989</v>
      </c>
      <c r="L40" s="4">
        <v>3</v>
      </c>
      <c r="M40" s="4">
        <v>117.99999999999996</v>
      </c>
      <c r="N40" s="4">
        <v>117.99999999999996</v>
      </c>
      <c r="O40" s="4">
        <v>1.6779118748694102E-14</v>
      </c>
      <c r="P40" s="4">
        <v>3.0087865704473615</v>
      </c>
    </row>
    <row r="41" spans="10:24" x14ac:dyDescent="0.25">
      <c r="J41" s="4" t="s">
        <v>41</v>
      </c>
      <c r="K41" s="4">
        <v>360.49999999999989</v>
      </c>
      <c r="L41" s="4">
        <v>2</v>
      </c>
      <c r="M41" s="4">
        <v>180.24999999999994</v>
      </c>
      <c r="N41" s="4">
        <v>180.24999999999994</v>
      </c>
      <c r="O41" s="4">
        <v>3.4976695075775738E-15</v>
      </c>
      <c r="P41" s="4">
        <v>3.4028261053501945</v>
      </c>
    </row>
    <row r="42" spans="10:24" x14ac:dyDescent="0.25">
      <c r="J42" s="4" t="s">
        <v>42</v>
      </c>
      <c r="K42" s="4">
        <v>1.5000000000001137</v>
      </c>
      <c r="L42" s="4">
        <v>6</v>
      </c>
      <c r="M42" s="4">
        <v>0.25000000000001893</v>
      </c>
      <c r="N42" s="4">
        <v>0.25000000000001893</v>
      </c>
      <c r="O42" s="4">
        <v>0.95453311748909564</v>
      </c>
      <c r="P42" s="4">
        <v>2.5081888234232559</v>
      </c>
    </row>
    <row r="43" spans="10:24" x14ac:dyDescent="0.25">
      <c r="J43" s="4" t="s">
        <v>43</v>
      </c>
      <c r="K43" s="4">
        <v>24</v>
      </c>
      <c r="L43" s="4">
        <v>24</v>
      </c>
      <c r="M43" s="4">
        <v>1</v>
      </c>
      <c r="N43" s="4"/>
      <c r="O43" s="4"/>
      <c r="P43" s="4"/>
    </row>
    <row r="44" spans="10:24" x14ac:dyDescent="0.25">
      <c r="J44" s="4"/>
      <c r="K44" s="4"/>
      <c r="L44" s="4"/>
      <c r="M44" s="4"/>
      <c r="N44" s="4"/>
      <c r="O44" s="4"/>
      <c r="P44" s="4"/>
    </row>
    <row r="45" spans="10:24" ht="15.75" thickBot="1" x14ac:dyDescent="0.3">
      <c r="J45" s="5" t="s">
        <v>23</v>
      </c>
      <c r="K45" s="5">
        <v>739.99999999999989</v>
      </c>
      <c r="L45" s="5">
        <v>35</v>
      </c>
      <c r="M45" s="5"/>
      <c r="N45" s="5"/>
      <c r="O45" s="5"/>
      <c r="P4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87C7-E90D-4330-B67A-4BDBF29C7C6B}">
  <dimension ref="A1:P25"/>
  <sheetViews>
    <sheetView workbookViewId="0">
      <selection activeCell="I37" sqref="I37"/>
    </sheetView>
  </sheetViews>
  <sheetFormatPr defaultRowHeight="15" x14ac:dyDescent="0.25"/>
  <cols>
    <col min="1" max="1" width="7.140625" bestFit="1" customWidth="1"/>
    <col min="2" max="5" width="3.42578125" bestFit="1" customWidth="1"/>
    <col min="7" max="7" width="13.140625" bestFit="1" customWidth="1"/>
    <col min="8" max="8" width="29.85546875" bestFit="1" customWidth="1"/>
  </cols>
  <sheetData>
    <row r="1" spans="1:14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G1" s="7" t="s">
        <v>49</v>
      </c>
      <c r="H1" s="7" t="s">
        <v>50</v>
      </c>
    </row>
    <row r="2" spans="1:14" x14ac:dyDescent="0.25">
      <c r="A2" s="2" t="s">
        <v>32</v>
      </c>
      <c r="B2" s="2">
        <v>42</v>
      </c>
      <c r="C2" s="2">
        <v>45</v>
      </c>
      <c r="D2" s="2">
        <v>47</v>
      </c>
      <c r="E2" s="2">
        <v>50</v>
      </c>
      <c r="G2" s="7" t="s">
        <v>37</v>
      </c>
      <c r="H2" s="7" t="s">
        <v>38</v>
      </c>
    </row>
    <row r="3" spans="1:14" x14ac:dyDescent="0.25">
      <c r="A3" s="2" t="s">
        <v>33</v>
      </c>
      <c r="B3" s="2">
        <v>38</v>
      </c>
      <c r="C3" s="2">
        <v>40</v>
      </c>
      <c r="D3" s="2">
        <v>43</v>
      </c>
      <c r="E3" s="2">
        <v>44</v>
      </c>
    </row>
    <row r="4" spans="1:14" x14ac:dyDescent="0.25">
      <c r="A4" s="2" t="s">
        <v>34</v>
      </c>
      <c r="B4" s="2">
        <v>46</v>
      </c>
      <c r="C4" s="2">
        <v>48</v>
      </c>
      <c r="D4" s="2">
        <v>49</v>
      </c>
      <c r="E4" s="2">
        <v>52</v>
      </c>
    </row>
    <row r="5" spans="1:14" x14ac:dyDescent="0.25">
      <c r="A5" s="2" t="s">
        <v>35</v>
      </c>
      <c r="B5" s="2">
        <v>41</v>
      </c>
      <c r="C5" s="2">
        <v>43</v>
      </c>
      <c r="D5" s="2">
        <v>45</v>
      </c>
      <c r="E5" s="2">
        <v>47</v>
      </c>
      <c r="J5" t="s">
        <v>51</v>
      </c>
    </row>
    <row r="6" spans="1:14" ht="15.75" thickBot="1" x14ac:dyDescent="0.3"/>
    <row r="7" spans="1:14" x14ac:dyDescent="0.25">
      <c r="J7" s="6" t="s">
        <v>7</v>
      </c>
      <c r="K7" s="6" t="s">
        <v>9</v>
      </c>
      <c r="L7" s="6" t="s">
        <v>10</v>
      </c>
      <c r="M7" s="6" t="s">
        <v>11</v>
      </c>
      <c r="N7" s="6" t="s">
        <v>12</v>
      </c>
    </row>
    <row r="8" spans="1:14" x14ac:dyDescent="0.25">
      <c r="J8" s="4" t="s">
        <v>32</v>
      </c>
      <c r="K8" s="4">
        <v>4</v>
      </c>
      <c r="L8" s="4">
        <v>184</v>
      </c>
      <c r="M8" s="4">
        <v>46</v>
      </c>
      <c r="N8" s="4">
        <v>11.333333333333334</v>
      </c>
    </row>
    <row r="9" spans="1:14" x14ac:dyDescent="0.25">
      <c r="J9" s="4" t="s">
        <v>33</v>
      </c>
      <c r="K9" s="4">
        <v>4</v>
      </c>
      <c r="L9" s="4">
        <v>165</v>
      </c>
      <c r="M9" s="4">
        <v>41.25</v>
      </c>
      <c r="N9" s="4">
        <v>7.583333333333333</v>
      </c>
    </row>
    <row r="10" spans="1:14" x14ac:dyDescent="0.25">
      <c r="J10" s="4" t="s">
        <v>34</v>
      </c>
      <c r="K10" s="4">
        <v>4</v>
      </c>
      <c r="L10" s="4">
        <v>195</v>
      </c>
      <c r="M10" s="4">
        <v>48.75</v>
      </c>
      <c r="N10" s="4">
        <v>6.25</v>
      </c>
    </row>
    <row r="11" spans="1:14" x14ac:dyDescent="0.25">
      <c r="J11" s="4" t="s">
        <v>35</v>
      </c>
      <c r="K11" s="4">
        <v>4</v>
      </c>
      <c r="L11" s="4">
        <v>176</v>
      </c>
      <c r="M11" s="4">
        <v>44</v>
      </c>
      <c r="N11" s="4">
        <v>6.666666666666667</v>
      </c>
    </row>
    <row r="12" spans="1:14" x14ac:dyDescent="0.25">
      <c r="J12" s="4"/>
      <c r="K12" s="4"/>
      <c r="L12" s="4"/>
      <c r="M12" s="4"/>
      <c r="N12" s="4"/>
    </row>
    <row r="13" spans="1:14" x14ac:dyDescent="0.25">
      <c r="J13" s="4" t="s">
        <v>45</v>
      </c>
      <c r="K13" s="4">
        <v>4</v>
      </c>
      <c r="L13" s="4">
        <v>167</v>
      </c>
      <c r="M13" s="4">
        <v>41.75</v>
      </c>
      <c r="N13" s="4">
        <v>10.916666666666666</v>
      </c>
    </row>
    <row r="14" spans="1:14" x14ac:dyDescent="0.25">
      <c r="J14" s="4" t="s">
        <v>46</v>
      </c>
      <c r="K14" s="4">
        <v>4</v>
      </c>
      <c r="L14" s="4">
        <v>176</v>
      </c>
      <c r="M14" s="4">
        <v>44</v>
      </c>
      <c r="N14" s="4">
        <v>11.333333333333334</v>
      </c>
    </row>
    <row r="15" spans="1:14" x14ac:dyDescent="0.25">
      <c r="J15" s="4" t="s">
        <v>47</v>
      </c>
      <c r="K15" s="4">
        <v>4</v>
      </c>
      <c r="L15" s="4">
        <v>184</v>
      </c>
      <c r="M15" s="4">
        <v>46</v>
      </c>
      <c r="N15" s="4">
        <v>6.666666666666667</v>
      </c>
    </row>
    <row r="16" spans="1:14" ht="15.75" thickBot="1" x14ac:dyDescent="0.3">
      <c r="J16" s="5" t="s">
        <v>48</v>
      </c>
      <c r="K16" s="5">
        <v>4</v>
      </c>
      <c r="L16" s="5">
        <v>193</v>
      </c>
      <c r="M16" s="5">
        <v>48.25</v>
      </c>
      <c r="N16" s="5">
        <v>12.25</v>
      </c>
    </row>
    <row r="19" spans="10:16" ht="15.75" thickBot="1" x14ac:dyDescent="0.3">
      <c r="J19" t="s">
        <v>13</v>
      </c>
    </row>
    <row r="20" spans="10:16" x14ac:dyDescent="0.25">
      <c r="J20" s="6" t="s">
        <v>14</v>
      </c>
      <c r="K20" s="6" t="s">
        <v>15</v>
      </c>
      <c r="L20" s="6" t="s">
        <v>16</v>
      </c>
      <c r="M20" s="6" t="s">
        <v>17</v>
      </c>
      <c r="N20" s="6" t="s">
        <v>18</v>
      </c>
      <c r="O20" s="6" t="s">
        <v>19</v>
      </c>
      <c r="P20" s="6" t="s">
        <v>20</v>
      </c>
    </row>
    <row r="21" spans="10:16" x14ac:dyDescent="0.25">
      <c r="J21" s="4" t="s">
        <v>52</v>
      </c>
      <c r="K21" s="4">
        <v>120.5</v>
      </c>
      <c r="L21" s="4">
        <v>3</v>
      </c>
      <c r="M21" s="4">
        <v>40.166666666666664</v>
      </c>
      <c r="N21" s="4">
        <v>120.5</v>
      </c>
      <c r="O21" s="4">
        <v>1.3898370291895772E-7</v>
      </c>
      <c r="P21" s="4">
        <v>3.8625483576247648</v>
      </c>
    </row>
    <row r="22" spans="10:16" x14ac:dyDescent="0.25">
      <c r="J22" s="4" t="s">
        <v>41</v>
      </c>
      <c r="K22" s="4">
        <v>92.5</v>
      </c>
      <c r="L22" s="4">
        <v>3</v>
      </c>
      <c r="M22" s="4">
        <v>30.833333333333332</v>
      </c>
      <c r="N22" s="4">
        <v>92.5</v>
      </c>
      <c r="O22" s="4">
        <v>4.407117402723753E-7</v>
      </c>
      <c r="P22" s="4">
        <v>3.8625483576247648</v>
      </c>
    </row>
    <row r="23" spans="10:16" x14ac:dyDescent="0.25">
      <c r="J23" s="4" t="s">
        <v>53</v>
      </c>
      <c r="K23" s="4">
        <v>3</v>
      </c>
      <c r="L23" s="4">
        <v>9</v>
      </c>
      <c r="M23" s="4">
        <v>0.33333333333333331</v>
      </c>
      <c r="N23" s="4"/>
      <c r="O23" s="4"/>
      <c r="P23" s="4"/>
    </row>
    <row r="24" spans="10:16" x14ac:dyDescent="0.25">
      <c r="J24" s="4"/>
      <c r="K24" s="4"/>
      <c r="L24" s="4"/>
      <c r="M24" s="4"/>
      <c r="N24" s="4"/>
      <c r="O24" s="4"/>
      <c r="P24" s="4"/>
    </row>
    <row r="25" spans="10:16" ht="15.75" thickBot="1" x14ac:dyDescent="0.3">
      <c r="J25" s="5" t="s">
        <v>23</v>
      </c>
      <c r="K25" s="5">
        <v>216</v>
      </c>
      <c r="L25" s="5">
        <v>15</v>
      </c>
      <c r="M25" s="5"/>
      <c r="N25" s="5"/>
      <c r="O25" s="5"/>
      <c r="P25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68D9-5580-4EF2-A815-FBA2C471D3EC}">
  <dimension ref="A1:P21"/>
  <sheetViews>
    <sheetView workbookViewId="0">
      <selection activeCell="H29" sqref="H29"/>
    </sheetView>
  </sheetViews>
  <sheetFormatPr defaultRowHeight="15" x14ac:dyDescent="0.25"/>
  <cols>
    <col min="1" max="1" width="5.5703125" bestFit="1" customWidth="1"/>
    <col min="2" max="2" width="6" bestFit="1" customWidth="1"/>
    <col min="3" max="3" width="10" bestFit="1" customWidth="1"/>
    <col min="4" max="4" width="15.7109375" bestFit="1" customWidth="1"/>
    <col min="6" max="6" width="13.140625" bestFit="1" customWidth="1"/>
    <col min="7" max="7" width="19.5703125" bestFit="1" customWidth="1"/>
  </cols>
  <sheetData>
    <row r="1" spans="1:16" x14ac:dyDescent="0.25">
      <c r="A1" s="1" t="s">
        <v>54</v>
      </c>
      <c r="B1" s="1" t="s">
        <v>55</v>
      </c>
      <c r="C1" s="1" t="s">
        <v>56</v>
      </c>
      <c r="D1" s="1" t="s">
        <v>57</v>
      </c>
      <c r="F1" s="7" t="s">
        <v>49</v>
      </c>
      <c r="G1" s="7" t="s">
        <v>58</v>
      </c>
    </row>
    <row r="2" spans="1:16" x14ac:dyDescent="0.25">
      <c r="A2" s="9">
        <v>1250</v>
      </c>
      <c r="B2" s="9">
        <v>240</v>
      </c>
      <c r="C2" s="9">
        <v>32</v>
      </c>
      <c r="D2" s="10">
        <v>4.0999999999999996</v>
      </c>
      <c r="F2" s="7" t="s">
        <v>37</v>
      </c>
      <c r="G2" s="7" t="s">
        <v>38</v>
      </c>
    </row>
    <row r="3" spans="1:16" x14ac:dyDescent="0.25">
      <c r="A3" s="9">
        <v>1380</v>
      </c>
      <c r="B3" s="9">
        <v>275</v>
      </c>
      <c r="C3" s="9">
        <v>35</v>
      </c>
      <c r="D3" s="10">
        <v>4.3</v>
      </c>
      <c r="I3" t="s">
        <v>58</v>
      </c>
    </row>
    <row r="4" spans="1:16" ht="15.75" thickBot="1" x14ac:dyDescent="0.3">
      <c r="A4" s="9">
        <v>1195</v>
      </c>
      <c r="B4" s="9">
        <v>225</v>
      </c>
      <c r="C4" s="9">
        <v>30</v>
      </c>
      <c r="D4" s="10">
        <v>4</v>
      </c>
    </row>
    <row r="5" spans="1:16" x14ac:dyDescent="0.25">
      <c r="A5" s="9">
        <v>1425</v>
      </c>
      <c r="B5" s="9">
        <v>290</v>
      </c>
      <c r="C5" s="9">
        <v>37</v>
      </c>
      <c r="D5" s="10">
        <v>4.4000000000000004</v>
      </c>
      <c r="I5" s="6" t="s">
        <v>54</v>
      </c>
      <c r="J5" s="6"/>
      <c r="K5" s="6" t="s">
        <v>55</v>
      </c>
      <c r="L5" s="6"/>
      <c r="M5" s="6" t="s">
        <v>56</v>
      </c>
      <c r="N5" s="6"/>
      <c r="O5" s="6" t="s">
        <v>57</v>
      </c>
      <c r="P5" s="6"/>
    </row>
    <row r="6" spans="1:16" x14ac:dyDescent="0.25">
      <c r="A6" s="9">
        <v>1510</v>
      </c>
      <c r="B6" s="9">
        <v>315</v>
      </c>
      <c r="C6" s="9">
        <v>39</v>
      </c>
      <c r="D6" s="10">
        <v>4.5999999999999996</v>
      </c>
      <c r="I6" s="4"/>
      <c r="J6" s="4"/>
      <c r="K6" s="4"/>
      <c r="L6" s="4"/>
      <c r="M6" s="4"/>
      <c r="N6" s="4"/>
      <c r="O6" s="4"/>
      <c r="P6" s="4"/>
    </row>
    <row r="7" spans="1:16" x14ac:dyDescent="0.25">
      <c r="A7" s="9">
        <v>1335</v>
      </c>
      <c r="B7" s="9">
        <v>260</v>
      </c>
      <c r="C7" s="9">
        <v>34</v>
      </c>
      <c r="D7" s="10">
        <v>4.2</v>
      </c>
      <c r="I7" s="4" t="s">
        <v>59</v>
      </c>
      <c r="J7" s="4">
        <v>1407</v>
      </c>
      <c r="K7" s="4" t="s">
        <v>59</v>
      </c>
      <c r="L7" s="4">
        <v>284.45</v>
      </c>
      <c r="M7" s="4" t="s">
        <v>59</v>
      </c>
      <c r="N7" s="4">
        <v>36.299999999999997</v>
      </c>
      <c r="O7" s="4" t="s">
        <v>59</v>
      </c>
      <c r="P7" s="4">
        <v>4.3599999999999994</v>
      </c>
    </row>
    <row r="8" spans="1:16" x14ac:dyDescent="0.25">
      <c r="A8" s="9">
        <v>1475</v>
      </c>
      <c r="B8" s="9">
        <v>305</v>
      </c>
      <c r="C8" s="9">
        <v>38</v>
      </c>
      <c r="D8" s="10">
        <v>4.5</v>
      </c>
      <c r="I8" s="4" t="s">
        <v>60</v>
      </c>
      <c r="J8" s="4">
        <v>28.456800130798445</v>
      </c>
      <c r="K8" s="4" t="s">
        <v>60</v>
      </c>
      <c r="L8" s="4">
        <v>8.3153235212562695</v>
      </c>
      <c r="M8" s="4" t="s">
        <v>60</v>
      </c>
      <c r="N8" s="4">
        <v>0.87087372944163433</v>
      </c>
      <c r="O8" s="4" t="s">
        <v>60</v>
      </c>
      <c r="P8" s="4">
        <v>5.7765405782900528E-2</v>
      </c>
    </row>
    <row r="9" spans="1:16" x14ac:dyDescent="0.25">
      <c r="A9" s="9">
        <v>1280</v>
      </c>
      <c r="B9" s="9">
        <v>245</v>
      </c>
      <c r="C9" s="9">
        <v>33</v>
      </c>
      <c r="D9" s="10">
        <v>4.0999999999999996</v>
      </c>
      <c r="I9" s="4" t="s">
        <v>61</v>
      </c>
      <c r="J9" s="4">
        <v>1415</v>
      </c>
      <c r="K9" s="4" t="s">
        <v>61</v>
      </c>
      <c r="L9" s="4">
        <v>287.5</v>
      </c>
      <c r="M9" s="4" t="s">
        <v>61</v>
      </c>
      <c r="N9" s="4">
        <v>36.5</v>
      </c>
      <c r="O9" s="4" t="s">
        <v>61</v>
      </c>
      <c r="P9" s="4">
        <v>4.3499999999999996</v>
      </c>
    </row>
    <row r="10" spans="1:16" x14ac:dyDescent="0.25">
      <c r="A10" s="9">
        <v>1560</v>
      </c>
      <c r="B10" s="9">
        <v>330</v>
      </c>
      <c r="C10" s="9">
        <v>41</v>
      </c>
      <c r="D10" s="10">
        <v>4.7</v>
      </c>
      <c r="I10" s="4" t="s">
        <v>62</v>
      </c>
      <c r="J10" s="4" t="e">
        <v>#N/A</v>
      </c>
      <c r="K10" s="4" t="s">
        <v>62</v>
      </c>
      <c r="L10" s="4" t="e">
        <v>#N/A</v>
      </c>
      <c r="M10" s="4" t="s">
        <v>62</v>
      </c>
      <c r="N10" s="4">
        <v>35</v>
      </c>
      <c r="O10" s="4" t="s">
        <v>62</v>
      </c>
      <c r="P10" s="4">
        <v>4.0999999999999996</v>
      </c>
    </row>
    <row r="11" spans="1:16" x14ac:dyDescent="0.25">
      <c r="A11" s="9">
        <v>1620</v>
      </c>
      <c r="B11" s="9">
        <v>348</v>
      </c>
      <c r="C11" s="9">
        <v>43</v>
      </c>
      <c r="D11" s="10">
        <v>4.8</v>
      </c>
      <c r="I11" s="4" t="s">
        <v>63</v>
      </c>
      <c r="J11" s="4">
        <v>127.26267902918046</v>
      </c>
      <c r="K11" s="4" t="s">
        <v>63</v>
      </c>
      <c r="L11" s="4">
        <v>37.187257296863876</v>
      </c>
      <c r="M11" s="4" t="s">
        <v>63</v>
      </c>
      <c r="N11" s="4">
        <v>3.8946657177005086</v>
      </c>
      <c r="O11" s="4" t="s">
        <v>63</v>
      </c>
      <c r="P11" s="4">
        <v>0.25833474815685009</v>
      </c>
    </row>
    <row r="12" spans="1:16" x14ac:dyDescent="0.25">
      <c r="A12" s="9">
        <v>1170</v>
      </c>
      <c r="B12" s="9">
        <v>218</v>
      </c>
      <c r="C12" s="9">
        <v>29</v>
      </c>
      <c r="D12" s="10">
        <v>3.9</v>
      </c>
      <c r="I12" s="4" t="s">
        <v>64</v>
      </c>
      <c r="J12" s="4">
        <v>16195.78947368421</v>
      </c>
      <c r="K12" s="4" t="s">
        <v>64</v>
      </c>
      <c r="L12" s="4">
        <v>1382.8921052631554</v>
      </c>
      <c r="M12" s="4" t="s">
        <v>64</v>
      </c>
      <c r="N12" s="4">
        <v>15.168421052631617</v>
      </c>
      <c r="O12" s="4" t="s">
        <v>64</v>
      </c>
      <c r="P12" s="4">
        <v>6.6736842105263164E-2</v>
      </c>
    </row>
    <row r="13" spans="1:16" x14ac:dyDescent="0.25">
      <c r="A13" s="9">
        <v>1405</v>
      </c>
      <c r="B13" s="9">
        <v>285</v>
      </c>
      <c r="C13" s="9">
        <v>36</v>
      </c>
      <c r="D13" s="10">
        <v>4.3</v>
      </c>
      <c r="I13" s="4" t="s">
        <v>65</v>
      </c>
      <c r="J13" s="4">
        <v>-0.70100551275725476</v>
      </c>
      <c r="K13" s="4" t="s">
        <v>65</v>
      </c>
      <c r="L13" s="4">
        <v>-0.85277328405476993</v>
      </c>
      <c r="M13" s="4" t="s">
        <v>65</v>
      </c>
      <c r="N13" s="4">
        <v>-0.6947021823714925</v>
      </c>
      <c r="O13" s="4" t="s">
        <v>65</v>
      </c>
      <c r="P13" s="4">
        <v>-1.07047274123653</v>
      </c>
    </row>
    <row r="14" spans="1:16" x14ac:dyDescent="0.25">
      <c r="A14" s="9">
        <v>1490</v>
      </c>
      <c r="B14" s="9">
        <v>310</v>
      </c>
      <c r="C14" s="9">
        <v>40</v>
      </c>
      <c r="D14" s="10">
        <v>4.5999999999999996</v>
      </c>
      <c r="I14" s="4" t="s">
        <v>66</v>
      </c>
      <c r="J14" s="4">
        <v>-0.20044548302747628</v>
      </c>
      <c r="K14" s="4" t="s">
        <v>66</v>
      </c>
      <c r="L14" s="4">
        <v>-0.12483739277871313</v>
      </c>
      <c r="M14" s="4" t="s">
        <v>66</v>
      </c>
      <c r="N14" s="4">
        <v>-9.6931454846327592E-2</v>
      </c>
      <c r="O14" s="4" t="s">
        <v>66</v>
      </c>
      <c r="P14" s="4">
        <v>4.8844751315928634E-3</v>
      </c>
    </row>
    <row r="15" spans="1:16" x14ac:dyDescent="0.25">
      <c r="A15" s="9">
        <v>1350</v>
      </c>
      <c r="B15" s="9">
        <v>268</v>
      </c>
      <c r="C15" s="9">
        <v>34</v>
      </c>
      <c r="D15" s="10">
        <v>4.2</v>
      </c>
      <c r="I15" s="4" t="s">
        <v>67</v>
      </c>
      <c r="J15" s="4">
        <v>450</v>
      </c>
      <c r="K15" s="4" t="s">
        <v>67</v>
      </c>
      <c r="L15" s="4">
        <v>130</v>
      </c>
      <c r="M15" s="4" t="s">
        <v>67</v>
      </c>
      <c r="N15" s="4">
        <v>14</v>
      </c>
      <c r="O15" s="4" t="s">
        <v>67</v>
      </c>
      <c r="P15" s="4">
        <v>0.89999999999999991</v>
      </c>
    </row>
    <row r="16" spans="1:16" x14ac:dyDescent="0.25">
      <c r="A16" s="9">
        <v>1440</v>
      </c>
      <c r="B16" s="9">
        <v>295</v>
      </c>
      <c r="C16" s="9">
        <v>37</v>
      </c>
      <c r="D16" s="10">
        <v>4.4000000000000004</v>
      </c>
      <c r="I16" s="4" t="s">
        <v>68</v>
      </c>
      <c r="J16" s="4">
        <v>1170</v>
      </c>
      <c r="K16" s="4" t="s">
        <v>68</v>
      </c>
      <c r="L16" s="4">
        <v>218</v>
      </c>
      <c r="M16" s="4" t="s">
        <v>68</v>
      </c>
      <c r="N16" s="4">
        <v>29</v>
      </c>
      <c r="O16" s="4" t="s">
        <v>68</v>
      </c>
      <c r="P16" s="4">
        <v>3.9</v>
      </c>
    </row>
    <row r="17" spans="1:16" x14ac:dyDescent="0.25">
      <c r="A17" s="9">
        <v>1585</v>
      </c>
      <c r="B17" s="9">
        <v>336</v>
      </c>
      <c r="C17" s="9">
        <v>42</v>
      </c>
      <c r="D17" s="10">
        <v>4.7</v>
      </c>
      <c r="I17" s="4" t="s">
        <v>69</v>
      </c>
      <c r="J17" s="4">
        <v>1620</v>
      </c>
      <c r="K17" s="4" t="s">
        <v>69</v>
      </c>
      <c r="L17" s="4">
        <v>348</v>
      </c>
      <c r="M17" s="4" t="s">
        <v>69</v>
      </c>
      <c r="N17" s="4">
        <v>43</v>
      </c>
      <c r="O17" s="4" t="s">
        <v>69</v>
      </c>
      <c r="P17" s="4">
        <v>4.8</v>
      </c>
    </row>
    <row r="18" spans="1:16" x14ac:dyDescent="0.25">
      <c r="A18" s="9">
        <v>1305</v>
      </c>
      <c r="B18" s="9">
        <v>252</v>
      </c>
      <c r="C18" s="9">
        <v>33</v>
      </c>
      <c r="D18" s="10">
        <v>4.0999999999999996</v>
      </c>
      <c r="I18" s="4" t="s">
        <v>10</v>
      </c>
      <c r="J18" s="4">
        <v>28140</v>
      </c>
      <c r="K18" s="4" t="s">
        <v>10</v>
      </c>
      <c r="L18" s="4">
        <v>5689</v>
      </c>
      <c r="M18" s="4" t="s">
        <v>10</v>
      </c>
      <c r="N18" s="4">
        <v>726</v>
      </c>
      <c r="O18" s="4" t="s">
        <v>10</v>
      </c>
      <c r="P18" s="4">
        <v>87.199999999999989</v>
      </c>
    </row>
    <row r="19" spans="1:16" ht="15.75" thickBot="1" x14ac:dyDescent="0.3">
      <c r="A19" s="9">
        <v>1460</v>
      </c>
      <c r="B19" s="9">
        <v>300</v>
      </c>
      <c r="C19" s="9">
        <v>38</v>
      </c>
      <c r="D19" s="10">
        <v>4.5</v>
      </c>
      <c r="I19" s="5" t="s">
        <v>9</v>
      </c>
      <c r="J19" s="5">
        <v>20</v>
      </c>
      <c r="K19" s="5" t="s">
        <v>9</v>
      </c>
      <c r="L19" s="5">
        <v>20</v>
      </c>
      <c r="M19" s="5" t="s">
        <v>9</v>
      </c>
      <c r="N19" s="5">
        <v>20</v>
      </c>
      <c r="O19" s="5" t="s">
        <v>9</v>
      </c>
      <c r="P19" s="5">
        <v>20</v>
      </c>
    </row>
    <row r="20" spans="1:16" x14ac:dyDescent="0.25">
      <c r="A20" s="9">
        <v>1540</v>
      </c>
      <c r="B20" s="9">
        <v>322</v>
      </c>
      <c r="C20" s="9">
        <v>40</v>
      </c>
      <c r="D20" s="10">
        <v>4.5999999999999996</v>
      </c>
    </row>
    <row r="21" spans="1:16" x14ac:dyDescent="0.25">
      <c r="A21" s="9">
        <v>1365</v>
      </c>
      <c r="B21" s="9">
        <v>270</v>
      </c>
      <c r="C21" s="9">
        <v>35</v>
      </c>
      <c r="D21" s="10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Corelation</vt:lpstr>
      <vt:lpstr>Covariance</vt:lpstr>
      <vt:lpstr>Anova Single Factor</vt:lpstr>
      <vt:lpstr>Anova  Two-Factor With Replicat</vt:lpstr>
      <vt:lpstr>Anova  Two-Factor Without Repli</vt:lpstr>
      <vt:lpstr>Descriptive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2026-06-05T06:33:17Z</dcterms:modified>
</cp:coreProperties>
</file>